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8_{3A256358-A7C9-493E-A6DD-36D2FA065B79}" xr6:coauthVersionLast="47" xr6:coauthVersionMax="47" xr10:uidLastSave="{00000000-0000-0000-0000-000000000000}"/>
  <bookViews>
    <workbookView xWindow="-120" yWindow="-120" windowWidth="20730" windowHeight="11040" tabRatio="918" activeTab="1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_xlnm._FilterDatabase" localSheetId="0" hidden="1">'V-Lookup'!$G$2:$G$6</definedName>
    <definedName name="_xlnm._FilterDatabase" localSheetId="1" hidden="1">'V-Lookup (2)'!$K$2:$L$4</definedName>
    <definedName name="Emp_Type">'V-Lookup (2)'!$H$2:$I$8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6" l="1"/>
  <c r="L3" i="6"/>
  <c r="K9" i="6"/>
  <c r="F13" i="6"/>
  <c r="F3" i="6"/>
  <c r="F4" i="6"/>
  <c r="F5" i="6"/>
  <c r="F6" i="6"/>
  <c r="F7" i="6"/>
  <c r="F8" i="6"/>
  <c r="F9" i="6"/>
  <c r="F10" i="6"/>
  <c r="F11" i="6"/>
  <c r="F12" i="6"/>
  <c r="F2" i="6"/>
  <c r="H3" i="2"/>
  <c r="H4" i="2"/>
  <c r="H5" i="2"/>
  <c r="H6" i="2"/>
  <c r="C14" i="5"/>
  <c r="C18" i="5"/>
  <c r="C17" i="5"/>
  <c r="I5" i="3"/>
  <c r="I4" i="3"/>
  <c r="G8" i="3"/>
  <c r="B17" i="2"/>
  <c r="D16" i="2"/>
</calcChain>
</file>

<file path=xl/sharedStrings.xml><?xml version="1.0" encoding="utf-8"?>
<sst xmlns="http://schemas.openxmlformats.org/spreadsheetml/2006/main" count="242" uniqueCount="118">
  <si>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</si>
  <si>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</si>
  <si>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</si>
  <si>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</si>
  <si>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</si>
  <si>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</si>
  <si>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</si>
  <si>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</si>
  <si>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</si>
  <si>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</si>
  <si>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</si>
  <si>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</si>
  <si>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</si>
  <si>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</si>
  <si>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</si>
  <si>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</si>
  <si>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</si>
  <si>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</si>
  <si>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</si>
  <si>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</si>
  <si>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</si>
  <si>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</si>
  <si>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</si>
  <si>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</si>
  <si>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</si>
  <si>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</si>
  <si>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</si>
  <si>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</si>
  <si>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</si>
  <si>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</si>
  <si>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</si>
  <si>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</si>
  <si>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</si>
  <si>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</si>
  <si>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</si>
  <si>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</si>
  <si>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</si>
  <si>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</si>
  <si>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</si>
  <si>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</si>
  <si>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</si>
  <si>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</si>
  <si>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</si>
  <si>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</si>
  <si>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</si>
  <si>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</si>
  <si>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</si>
  <si>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</si>
  <si>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</si>
  <si>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</si>
  <si>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</si>
  <si>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</si>
  <si>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</si>
  <si>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</si>
  <si>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</si>
  <si>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</si>
  <si>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</si>
  <si>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</si>
  <si>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</si>
  <si>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</si>
  <si>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</si>
  <si>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</si>
  <si>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</si>
  <si>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</si>
  <si>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</si>
  <si>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</si>
  <si>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</si>
  <si>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</si>
  <si>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</si>
  <si>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</si>
  <si>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</si>
  <si>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</si>
  <si>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</si>
  <si>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</si>
  <si>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</si>
  <si>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</si>
  <si>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</si>
  <si>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</si>
  <si>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</si>
  <si>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</si>
  <si>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</si>
  <si>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</si>
  <si>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</si>
  <si>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</si>
  <si>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</si>
  <si>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</si>
  <si>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</si>
  <si>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</si>
  <si>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</si>
  <si>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</si>
  <si>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</si>
  <si>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</si>
  <si>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</si>
  <si>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</si>
  <si>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</si>
  <si>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</si>
  <si>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</si>
  <si>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</si>
  <si>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</si>
  <si>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</si>
  <si>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</si>
  <si>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</si>
  <si>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</si>
  <si>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</si>
  <si>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</si>
  <si>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</si>
  <si>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</si>
  <si>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</si>
  <si>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</si>
  <si>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</si>
  <si>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</si>
  <si>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</si>
  <si>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</si>
  <si>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emp_type</t>
  </si>
  <si>
    <t>Greater than</t>
  </si>
  <si>
    <t>Row</t>
  </si>
  <si>
    <t>column</t>
  </si>
  <si>
    <t>emp012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</si>
</sst>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6" formatCode="dd\-mm\-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6" fontId="1" fillId="2" borderId="1" xfId="0" applyNumberFormat="1" applyFont="1" applyFill="1" applyBorder="1" applyAlignment="1">
      <alignment horizontal="center" vertical="top"/>
    </xf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H17"/>
  <sheetViews>
    <sheetView zoomScaleNormal="100" workbookViewId="0">
      <selection activeCell="H3" sqref="H3"/>
    </sheetView>
  </sheetViews>
  <sheetFormatPr defaultRowHeight="15" x14ac:dyDescent="0.25"/>
  <cols>
    <col min="1" max="1" width="11.7109375" bestFit="1" customWidth="1"/>
    <col min="2" max="2" width="12.28515625" bestFit="1" customWidth="1"/>
    <col min="3" max="3" width="12.7109375" customWidth="1"/>
    <col min="4" max="4" width="13.28515625" customWidth="1"/>
    <col min="5" max="5" width="13.5703125" style="16" customWidth="1"/>
    <col min="7" max="7" width="12.42578125" bestFit="1" customWidth="1"/>
    <col min="8" max="8" width="14.42578125" customWidth="1"/>
  </cols>
  <sheetData>
    <row r="1" spans="1:8" x14ac:dyDescent="0.25">
      <c r="A1" s="6" t="s">
        <v>30</v>
      </c>
      <c r="B1" s="6" t="s">
        <v>29</v>
      </c>
      <c r="C1" s="6" t="s">
        <v>28</v>
      </c>
      <c r="D1" s="5" t="s">
        <v>27</v>
      </c>
      <c r="E1" s="14" t="s">
        <v>26</v>
      </c>
    </row>
    <row r="2" spans="1:8" x14ac:dyDescent="0.25">
      <c r="A2" s="3" t="s">
        <v>25</v>
      </c>
      <c r="B2" s="3" t="s">
        <v>24</v>
      </c>
      <c r="C2" s="3" t="s">
        <v>10</v>
      </c>
      <c r="D2" s="2">
        <v>41954</v>
      </c>
      <c r="E2" s="15">
        <v>43831</v>
      </c>
      <c r="G2" s="6" t="s">
        <v>30</v>
      </c>
      <c r="H2" t="s">
        <v>117</v>
      </c>
    </row>
    <row r="3" spans="1:8" x14ac:dyDescent="0.25">
      <c r="A3" s="3" t="s">
        <v>23</v>
      </c>
      <c r="B3" s="3" t="s">
        <v>22</v>
      </c>
      <c r="C3" s="3" t="s">
        <v>0</v>
      </c>
      <c r="D3" s="2">
        <v>49855</v>
      </c>
      <c r="E3" s="15">
        <v>43832</v>
      </c>
      <c r="G3" s="6" t="s">
        <v>29</v>
      </c>
      <c r="H3" t="str">
        <f>VLOOKUP($H$2,A2:E13,ROW()-1,0)</f>
        <v>Employee_12</v>
      </c>
    </row>
    <row r="4" spans="1:8" x14ac:dyDescent="0.25">
      <c r="A4" s="3" t="s">
        <v>21</v>
      </c>
      <c r="B4" s="3" t="s">
        <v>15</v>
      </c>
      <c r="C4" s="3" t="s">
        <v>3</v>
      </c>
      <c r="D4" s="2">
        <v>94210</v>
      </c>
      <c r="E4" s="15">
        <v>43833</v>
      </c>
      <c r="G4" s="6" t="s">
        <v>28</v>
      </c>
      <c r="H4" t="str">
        <f t="shared" ref="H4:H6" si="0">VLOOKUP($H$2,A3:E14,ROW()-1,0)</f>
        <v>Operations</v>
      </c>
    </row>
    <row r="5" spans="1:8" x14ac:dyDescent="0.25">
      <c r="A5" s="3" t="s">
        <v>20</v>
      </c>
      <c r="B5" s="3" t="s">
        <v>19</v>
      </c>
      <c r="C5" s="3" t="s">
        <v>10</v>
      </c>
      <c r="D5" s="2">
        <v>74689</v>
      </c>
      <c r="E5" s="15">
        <v>43834</v>
      </c>
      <c r="G5" s="5" t="s">
        <v>27</v>
      </c>
      <c r="H5">
        <f t="shared" si="0"/>
        <v>85028</v>
      </c>
    </row>
    <row r="6" spans="1:8" x14ac:dyDescent="0.25">
      <c r="A6" s="3" t="s">
        <v>18</v>
      </c>
      <c r="B6" s="3" t="s">
        <v>17</v>
      </c>
      <c r="C6" s="3" t="s">
        <v>0</v>
      </c>
      <c r="D6" s="2">
        <v>90652</v>
      </c>
      <c r="E6" s="15">
        <v>43835</v>
      </c>
      <c r="G6" s="14" t="s">
        <v>26</v>
      </c>
      <c r="H6" s="16">
        <f t="shared" si="0"/>
        <v>43842</v>
      </c>
    </row>
    <row r="7" spans="1:8" x14ac:dyDescent="0.25">
      <c r="A7" s="3" t="s">
        <v>16</v>
      </c>
      <c r="B7" s="3" t="s">
        <v>15</v>
      </c>
      <c r="C7" s="3" t="s">
        <v>0</v>
      </c>
      <c r="D7" s="2">
        <v>74820</v>
      </c>
      <c r="E7" s="15">
        <v>43836</v>
      </c>
    </row>
    <row r="8" spans="1:8" x14ac:dyDescent="0.25">
      <c r="A8" s="3" t="s">
        <v>14</v>
      </c>
      <c r="B8" s="3" t="s">
        <v>13</v>
      </c>
      <c r="C8" s="3" t="s">
        <v>3</v>
      </c>
      <c r="D8" s="2">
        <v>85206</v>
      </c>
      <c r="E8" s="15">
        <v>43837</v>
      </c>
    </row>
    <row r="9" spans="1:8" x14ac:dyDescent="0.25">
      <c r="A9" s="3" t="s">
        <v>12</v>
      </c>
      <c r="B9" s="3" t="s">
        <v>11</v>
      </c>
      <c r="C9" s="3" t="s">
        <v>10</v>
      </c>
      <c r="D9" s="2">
        <v>30924</v>
      </c>
      <c r="E9" s="15">
        <v>43838</v>
      </c>
    </row>
    <row r="10" spans="1:8" x14ac:dyDescent="0.25">
      <c r="A10" s="3" t="s">
        <v>9</v>
      </c>
      <c r="B10" s="3" t="s">
        <v>8</v>
      </c>
      <c r="C10" s="3" t="s">
        <v>0</v>
      </c>
      <c r="D10" s="2">
        <v>57737</v>
      </c>
      <c r="E10" s="15">
        <v>43839</v>
      </c>
    </row>
    <row r="11" spans="1:8" x14ac:dyDescent="0.25">
      <c r="A11" s="3" t="s">
        <v>7</v>
      </c>
      <c r="B11" s="3" t="s">
        <v>6</v>
      </c>
      <c r="C11" s="3" t="s">
        <v>3</v>
      </c>
      <c r="D11" s="2">
        <v>36000</v>
      </c>
      <c r="E11" s="15">
        <v>43840</v>
      </c>
    </row>
    <row r="12" spans="1:8" x14ac:dyDescent="0.25">
      <c r="A12" s="3" t="s">
        <v>5</v>
      </c>
      <c r="B12" s="3" t="s">
        <v>4</v>
      </c>
      <c r="C12" s="3" t="s">
        <v>3</v>
      </c>
      <c r="D12" s="2">
        <v>96371</v>
      </c>
      <c r="E12" s="15">
        <v>43841</v>
      </c>
    </row>
    <row r="13" spans="1:8" x14ac:dyDescent="0.25">
      <c r="A13" s="3" t="s">
        <v>2</v>
      </c>
      <c r="B13" s="3" t="s">
        <v>1</v>
      </c>
      <c r="C13" s="3" t="s">
        <v>0</v>
      </c>
      <c r="D13" s="2">
        <v>85028</v>
      </c>
      <c r="E13" s="15">
        <v>43842</v>
      </c>
    </row>
    <row r="16" spans="1:8" x14ac:dyDescent="0.25">
      <c r="D16">
        <f>ROW()</f>
        <v>16</v>
      </c>
    </row>
    <row r="17" spans="2:2" x14ac:dyDescent="0.25">
      <c r="B17">
        <f>ROW()</f>
        <v>17</v>
      </c>
    </row>
  </sheetData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L13"/>
  <sheetViews>
    <sheetView tabSelected="1" zoomScaleNormal="100" workbookViewId="0">
      <selection activeCell="K4" sqref="K4"/>
    </sheetView>
  </sheetViews>
  <sheetFormatPr defaultRowHeight="15" x14ac:dyDescent="0.25"/>
  <cols>
    <col min="1" max="1" width="11.7109375" bestFit="1" customWidth="1"/>
    <col min="2" max="2" width="12.28515625" bestFit="1" customWidth="1"/>
    <col min="3" max="3" width="12.7109375" customWidth="1"/>
    <col min="4" max="4" width="13.28515625" customWidth="1"/>
    <col min="5" max="5" width="13.5703125" style="16" customWidth="1"/>
    <col min="6" max="6" width="15.7109375" customWidth="1"/>
    <col min="7" max="7" width="27.42578125" customWidth="1"/>
    <col min="8" max="8" width="11.140625" bestFit="1" customWidth="1"/>
    <col min="9" max="9" width="11.140625" customWidth="1"/>
    <col min="11" max="11" width="11.7109375" bestFit="1" customWidth="1"/>
    <col min="12" max="12" width="11.28515625" bestFit="1" customWidth="1"/>
  </cols>
  <sheetData>
    <row r="1" spans="1:12" x14ac:dyDescent="0.25">
      <c r="A1" s="6" t="s">
        <v>30</v>
      </c>
      <c r="B1" s="6" t="s">
        <v>29</v>
      </c>
      <c r="C1" s="6" t="s">
        <v>28</v>
      </c>
      <c r="D1" s="5" t="s">
        <v>27</v>
      </c>
      <c r="E1" s="14" t="s">
        <v>26</v>
      </c>
      <c r="F1" s="9" t="s">
        <v>113</v>
      </c>
      <c r="H1" t="s">
        <v>114</v>
      </c>
    </row>
    <row r="2" spans="1:12" x14ac:dyDescent="0.25">
      <c r="A2" s="3" t="s">
        <v>25</v>
      </c>
      <c r="B2" s="3" t="s">
        <v>24</v>
      </c>
      <c r="C2" s="3" t="s">
        <v>10</v>
      </c>
      <c r="D2" s="2">
        <v>41954</v>
      </c>
      <c r="E2" s="15">
        <v>43831</v>
      </c>
      <c r="F2" s="10" t="str">
        <f>VLOOKUP(D2,Emp_Type,2,1)</f>
        <v>Grade5</v>
      </c>
      <c r="H2" s="10" t="s">
        <v>27</v>
      </c>
      <c r="I2" s="10" t="s">
        <v>112</v>
      </c>
      <c r="K2" t="s">
        <v>30</v>
      </c>
      <c r="L2" t="s">
        <v>25</v>
      </c>
    </row>
    <row r="3" spans="1:12" x14ac:dyDescent="0.25">
      <c r="A3" s="3" t="s">
        <v>23</v>
      </c>
      <c r="B3" s="3" t="s">
        <v>22</v>
      </c>
      <c r="C3" s="3" t="s">
        <v>0</v>
      </c>
      <c r="D3" s="2">
        <v>49855</v>
      </c>
      <c r="E3" s="15">
        <v>43832</v>
      </c>
      <c r="F3" s="10" t="str">
        <f>VLOOKUP(D3,Emp_Type,2,1)</f>
        <v>Grade4</v>
      </c>
      <c r="H3" s="10">
        <v>15000</v>
      </c>
      <c r="I3" s="10" t="s">
        <v>106</v>
      </c>
      <c r="K3" t="s">
        <v>28</v>
      </c>
      <c r="L3" t="str">
        <f>VLOOKUP($L$2,$A$1:$E$13,MATCH(K3,$A$1:$E$1,0),0)</f>
        <v>Finance</v>
      </c>
    </row>
    <row r="4" spans="1:12" x14ac:dyDescent="0.25">
      <c r="A4" s="3" t="s">
        <v>21</v>
      </c>
      <c r="B4" s="3" t="s">
        <v>15</v>
      </c>
      <c r="C4" s="3" t="s">
        <v>3</v>
      </c>
      <c r="D4" s="2">
        <v>94210</v>
      </c>
      <c r="E4" s="15">
        <v>43833</v>
      </c>
      <c r="F4" s="10" t="str">
        <f>VLOOKUP(D4,Emp_Type,2,1)</f>
        <v>Grade1</v>
      </c>
      <c r="H4" s="10">
        <v>30000</v>
      </c>
      <c r="I4" s="10" t="s">
        <v>107</v>
      </c>
      <c r="K4" t="s">
        <v>27</v>
      </c>
      <c r="L4">
        <f>VLOOKUP($L$2,$A$1:$E$13,MATCH(K4,$A$1:$E$1,0),0)</f>
        <v>41954</v>
      </c>
    </row>
    <row r="5" spans="1:12" x14ac:dyDescent="0.25">
      <c r="A5" s="3" t="s">
        <v>20</v>
      </c>
      <c r="B5" s="3" t="s">
        <v>19</v>
      </c>
      <c r="C5" s="3" t="s">
        <v>10</v>
      </c>
      <c r="D5" s="2">
        <v>74689</v>
      </c>
      <c r="E5" s="15">
        <v>43834</v>
      </c>
      <c r="F5" s="10" t="str">
        <f>VLOOKUP(D5,Emp_Type,2,1)</f>
        <v>Grade3</v>
      </c>
      <c r="H5" s="10">
        <v>45000</v>
      </c>
      <c r="I5" s="10" t="s">
        <v>108</v>
      </c>
    </row>
    <row r="6" spans="1:12" x14ac:dyDescent="0.25">
      <c r="A6" s="3" t="s">
        <v>18</v>
      </c>
      <c r="B6" s="3" t="s">
        <v>17</v>
      </c>
      <c r="C6" s="3" t="s">
        <v>0</v>
      </c>
      <c r="D6" s="2">
        <v>90652</v>
      </c>
      <c r="E6" s="15">
        <v>43835</v>
      </c>
      <c r="F6" s="10" t="str">
        <f>VLOOKUP(D6,Emp_Type,2,1)</f>
        <v>Grade1</v>
      </c>
      <c r="H6" s="10">
        <v>60000</v>
      </c>
      <c r="I6" s="10" t="s">
        <v>109</v>
      </c>
    </row>
    <row r="7" spans="1:12" x14ac:dyDescent="0.25">
      <c r="A7" s="3" t="s">
        <v>16</v>
      </c>
      <c r="B7" s="3" t="s">
        <v>15</v>
      </c>
      <c r="C7" s="3" t="s">
        <v>0</v>
      </c>
      <c r="D7" s="2">
        <v>74820</v>
      </c>
      <c r="E7" s="15">
        <v>43836</v>
      </c>
      <c r="F7" s="10" t="str">
        <f>VLOOKUP(D7,Emp_Type,2,1)</f>
        <v>Grade3</v>
      </c>
      <c r="H7" s="10">
        <v>75000</v>
      </c>
      <c r="I7" s="10" t="s">
        <v>110</v>
      </c>
    </row>
    <row r="8" spans="1:12" x14ac:dyDescent="0.25">
      <c r="A8" s="3" t="s">
        <v>14</v>
      </c>
      <c r="B8" s="3" t="s">
        <v>13</v>
      </c>
      <c r="C8" s="3" t="s">
        <v>3</v>
      </c>
      <c r="D8" s="2">
        <v>85206</v>
      </c>
      <c r="E8" s="15">
        <v>43837</v>
      </c>
      <c r="F8" s="10" t="str">
        <f>VLOOKUP(D8,Emp_Type,2,1)</f>
        <v>Grade2</v>
      </c>
      <c r="H8" s="10">
        <v>90000</v>
      </c>
      <c r="I8" s="10" t="s">
        <v>111</v>
      </c>
    </row>
    <row r="9" spans="1:12" x14ac:dyDescent="0.25">
      <c r="A9" s="3" t="s">
        <v>12</v>
      </c>
      <c r="B9" s="3" t="s">
        <v>11</v>
      </c>
      <c r="C9" s="3" t="s">
        <v>10</v>
      </c>
      <c r="D9" s="2">
        <v>30924</v>
      </c>
      <c r="E9" s="15">
        <v>43838</v>
      </c>
      <c r="F9" s="10" t="str">
        <f>VLOOKUP(D9,Emp_Type,2,1)</f>
        <v>Grade5</v>
      </c>
      <c r="K9">
        <f>MATCH(K3,A1:E1,0)</f>
        <v>3</v>
      </c>
    </row>
    <row r="10" spans="1:12" x14ac:dyDescent="0.25">
      <c r="A10" s="3" t="s">
        <v>9</v>
      </c>
      <c r="B10" s="3" t="s">
        <v>8</v>
      </c>
      <c r="C10" s="3" t="s">
        <v>0</v>
      </c>
      <c r="D10" s="2">
        <v>57737</v>
      </c>
      <c r="E10" s="15">
        <v>43839</v>
      </c>
      <c r="F10" s="10" t="str">
        <f>VLOOKUP(D10,Emp_Type,2,1)</f>
        <v>Grade4</v>
      </c>
    </row>
    <row r="11" spans="1:12" x14ac:dyDescent="0.25">
      <c r="A11" s="3" t="s">
        <v>7</v>
      </c>
      <c r="B11" s="3" t="s">
        <v>6</v>
      </c>
      <c r="C11" s="3" t="s">
        <v>3</v>
      </c>
      <c r="D11" s="2">
        <v>36000</v>
      </c>
      <c r="E11" s="15">
        <v>43840</v>
      </c>
      <c r="F11" s="10" t="str">
        <f>VLOOKUP(D11,Emp_Type,2,1)</f>
        <v>Grade5</v>
      </c>
    </row>
    <row r="12" spans="1:12" x14ac:dyDescent="0.25">
      <c r="A12" s="3" t="s">
        <v>5</v>
      </c>
      <c r="B12" s="3" t="s">
        <v>4</v>
      </c>
      <c r="C12" s="3" t="s">
        <v>3</v>
      </c>
      <c r="D12" s="2">
        <v>96371</v>
      </c>
      <c r="E12" s="15">
        <v>43841</v>
      </c>
      <c r="F12" s="10" t="str">
        <f>VLOOKUP(D12,Emp_Type,2,1)</f>
        <v>Grade1</v>
      </c>
    </row>
    <row r="13" spans="1:12" x14ac:dyDescent="0.25">
      <c r="A13" s="3" t="s">
        <v>2</v>
      </c>
      <c r="B13" s="3" t="s">
        <v>1</v>
      </c>
      <c r="C13" s="3" t="s">
        <v>0</v>
      </c>
      <c r="D13" s="2">
        <v>85028</v>
      </c>
      <c r="E13" s="15">
        <v>43842</v>
      </c>
      <c r="F13" s="10" t="str">
        <f>VLOOKUP(D13,Emp_Type,2,1)</f>
        <v>Grade2</v>
      </c>
    </row>
  </sheetData>
  <sortState xmlns:xlrd2="http://schemas.microsoft.com/office/spreadsheetml/2017/richdata2" ref="H3:I8">
    <sortCondition ref="H3:H8"/>
  </sortState>
  <conditionalFormatting sqref="A2:E13">
    <cfRule type="expression" dxfId="1" priority="1">
      <formula>$C2=$F$2</formula>
    </cfRule>
  </conditionalFormatting>
  <dataValidations count="2">
    <dataValidation type="list" allowBlank="1" showInputMessage="1" showErrorMessage="1" sqref="K3" xr:uid="{B3CCEEB4-1AE1-42BD-8C1C-E1F2AE8B1A75}">
      <formula1>$B$1:$E$1</formula1>
    </dataValidation>
    <dataValidation type="list" allowBlank="1" showInputMessage="1" showErrorMessage="1" sqref="K4" xr:uid="{DEFE129F-864D-41AD-87A9-5D9D604AF1EE}">
      <formula1>$A$1:$E$1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45" zoomScaleNormal="145" workbookViewId="0">
      <selection activeCell="G8" sqref="G8"/>
    </sheetView>
  </sheetViews>
  <sheetFormatPr defaultRowHeight="15" x14ac:dyDescent="0.25"/>
  <cols>
    <col min="1" max="1" width="11.7109375" bestFit="1" customWidth="1"/>
    <col min="2" max="2" width="12.28515625" bestFit="1" customWidth="1"/>
    <col min="3" max="3" width="12.7109375" customWidth="1"/>
    <col min="4" max="4" width="13.28515625" customWidth="1"/>
    <col min="5" max="5" width="13.5703125" customWidth="1"/>
    <col min="8" max="8" width="17.140625" customWidth="1"/>
    <col min="9" max="9" width="16.7109375" customWidth="1"/>
  </cols>
  <sheetData>
    <row r="1" spans="1:9" x14ac:dyDescent="0.25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25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 x14ac:dyDescent="0.25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25</v>
      </c>
    </row>
    <row r="4" spans="1:9" x14ac:dyDescent="0.25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29</v>
      </c>
      <c r="I4" t="str">
        <f>VLOOKUP($I$3,$A$1:$E$13,MATCH(H4,$A$1:$E$1,0),0)</f>
        <v>Employee_1</v>
      </c>
    </row>
    <row r="5" spans="1:9" x14ac:dyDescent="0.25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28</v>
      </c>
      <c r="I5" t="str">
        <f>VLOOKUP($I$3,$A$1:$E$13,MATCH(H5,$A$1:$E$1,0),0)</f>
        <v>Finance</v>
      </c>
    </row>
    <row r="6" spans="1:9" x14ac:dyDescent="0.25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 x14ac:dyDescent="0.25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 x14ac:dyDescent="0.25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G8">
        <f>MATCH(H4,A1:E1,0)</f>
        <v>2</v>
      </c>
    </row>
    <row r="9" spans="1:9" x14ac:dyDescent="0.25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 x14ac:dyDescent="0.25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25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25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25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I3" xr:uid="{43F7D8ED-E9CB-4F6D-ADFF-35094EC81F4F}">
      <formula1>$A$2:$A$13</formula1>
    </dataValidation>
    <dataValidation type="list" allowBlank="1" showInputMessage="1" showErrorMessage="1" sqref="H4:H5" xr:uid="{31CB2FDC-3267-485E-BD02-B1AACAD44E5D}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8"/>
  <sheetViews>
    <sheetView zoomScale="115" zoomScaleNormal="115" workbookViewId="0">
      <selection activeCell="D17" sqref="D17"/>
    </sheetView>
  </sheetViews>
  <sheetFormatPr defaultRowHeight="15" x14ac:dyDescent="0.25"/>
  <cols>
    <col min="1" max="1" width="16.28515625" bestFit="1" customWidth="1"/>
    <col min="2" max="2" width="27.42578125" bestFit="1" customWidth="1"/>
    <col min="3" max="3" width="28.28515625" bestFit="1" customWidth="1"/>
    <col min="4" max="4" width="26.7109375" bestFit="1" customWidth="1"/>
    <col min="5" max="5" width="28.7109375" bestFit="1" customWidth="1"/>
    <col min="6" max="6" width="26" bestFit="1" customWidth="1"/>
    <col min="7" max="7" width="25.85546875" bestFit="1" customWidth="1"/>
    <col min="8" max="8" width="27.140625" bestFit="1" customWidth="1"/>
    <col min="9" max="9" width="26.42578125" bestFit="1" customWidth="1"/>
    <col min="10" max="10" width="27.42578125" bestFit="1" customWidth="1"/>
  </cols>
  <sheetData>
    <row r="1" spans="1:10" x14ac:dyDescent="0.25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25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25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25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25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25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25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25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25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45" customHeight="1" x14ac:dyDescent="0.25">
      <c r="B13" s="11" t="s">
        <v>105</v>
      </c>
      <c r="C13" s="12" t="s">
        <v>99</v>
      </c>
    </row>
    <row r="14" spans="1:10" ht="21.6" customHeight="1" x14ac:dyDescent="0.25">
      <c r="B14" s="12" t="s">
        <v>87</v>
      </c>
      <c r="C14" s="13" t="str">
        <f>INDEX(A1:J9,MATCH(B14,A1:A9,0),MATCH(C13,A1:J1,0))</f>
        <v>Science (Ms. Taylor)</v>
      </c>
    </row>
    <row r="17" spans="2:3" x14ac:dyDescent="0.25">
      <c r="B17" t="s">
        <v>115</v>
      </c>
      <c r="C17" s="8">
        <f>MATCH(B14,A1:A9,0)</f>
        <v>3</v>
      </c>
    </row>
    <row r="18" spans="2:3" x14ac:dyDescent="0.25">
      <c r="B18" t="s">
        <v>116</v>
      </c>
      <c r="C18" s="8">
        <f>MATCH(C13,A1:J1,0)</f>
        <v>7</v>
      </c>
    </row>
  </sheetData>
  <dataValidations count="2">
    <dataValidation type="list" allowBlank="1" showInputMessage="1" showErrorMessage="1" sqref="B14" xr:uid="{AC247D87-B494-4E93-BCAF-1F72631F5389}">
      <formula1>$A$1:$A$9</formula1>
    </dataValidation>
    <dataValidation type="list" allowBlank="1" showInputMessage="1" showErrorMessage="1" sqref="C13" xr:uid="{BA192073-661A-4DFE-A651-747B27A06F2D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jkdaud@outlook.com</cp:lastModifiedBy>
  <dcterms:created xsi:type="dcterms:W3CDTF">2024-12-17T10:15:43Z</dcterms:created>
  <dcterms:modified xsi:type="dcterms:W3CDTF">2026-01-05T18:41:15Z</dcterms:modified>
</cp:coreProperties>
</file>