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User"/>
  <workbookPr/>
  <bookViews>
    <workbookView activeTab="3" xWindow="240" yWindow="60" windowWidth="20490" windowHeight="8820" tabRatio="500"/>
  </bookViews>
  <sheets>
    <sheet name="Sheet1" sheetId="1" r:id="rId4"/>
    <sheet name="Sheet2" sheetId="2" r:id="rId5"/>
    <sheet name="Sheet3" sheetId="3" r:id="rId6"/>
    <sheet name="Sheet4" sheetId="4" r:id="rId7"/>
    <sheet name="Sheet5" sheetId="5" r:id="rId8"/>
    <sheet name="Sheet6" sheetId="6" r:id="rId9"/>
    <sheet name="Sheet7" sheetId="7" r:id="rId10"/>
    <sheet name="Sheet8" sheetId="8" r:id="rId11"/>
    <sheet name="Sheet9" sheetId="9" r:id="rId12"/>
    <sheet name="Sheet10" sheetId="10" r:id="rId13"/>
  </sheets>
  <calcPr/>
  <extLst>
    <ext uri="smNativeData">
      <pm:revision xmlns:pm="smNativeData" day="1754492956" val="1068" rev="124" revOS="4" revMin="124" revMax="0"/>
      <pm:docPrefs xmlns:pm="smNativeData" id="1754492956" fixedDigits="0" showNotice="1" showFrameBounds="1" autoChart="1" recalcOnPrint="1" recalcOnCopy="1" finalRounding="1" compatTextArt="1" tab="567" useDefinedPrintRange="1" printArea="currentSheet"/>
      <pm:compatibility xmlns:pm="smNativeData" id="1754492956" overlapCells="1"/>
      <pm:defCurrency xmlns:pm="smNativeData" id="1754492956"/>
    </ext>
  </extLst>
</workbook>
</file>

<file path=xl/sharedStrings.xml><?xml version="1.0" encoding="utf-8"?>
<sst xmlns="http://schemas.openxmlformats.org/spreadsheetml/2006/main" count="200" uniqueCount="104">
  <si>
    <t>Product</t>
  </si>
  <si>
    <t>Quantity</t>
  </si>
  <si>
    <t>Unit Price</t>
  </si>
  <si>
    <t>Date Sold</t>
  </si>
  <si>
    <t>Total Sell</t>
  </si>
  <si>
    <t>Discount</t>
  </si>
  <si>
    <t>Net Amount</t>
  </si>
  <si>
    <t>Appales</t>
  </si>
  <si>
    <t>Bananas</t>
  </si>
  <si>
    <t>Cherries</t>
  </si>
  <si>
    <t>Dates</t>
  </si>
  <si>
    <t>Elderberries</t>
  </si>
  <si>
    <t>mon</t>
  </si>
  <si>
    <t>tue</t>
  </si>
  <si>
    <t>wed</t>
  </si>
  <si>
    <t>thu</t>
  </si>
  <si>
    <t>fri</t>
  </si>
  <si>
    <t>sat</t>
  </si>
  <si>
    <t>sun</t>
  </si>
  <si>
    <t>Full Name</t>
  </si>
  <si>
    <t>Name- Trim</t>
  </si>
  <si>
    <t>Name</t>
  </si>
  <si>
    <t>Email</t>
  </si>
  <si>
    <t>Domain-Right</t>
  </si>
  <si>
    <t>Name-Left</t>
  </si>
  <si>
    <t>Email-Mid</t>
  </si>
  <si>
    <t>User Name</t>
  </si>
  <si>
    <t>Domain</t>
  </si>
  <si>
    <t>Name-Fixed Width</t>
  </si>
  <si>
    <t>John     Doe</t>
  </si>
  <si>
    <t>John Doe</t>
  </si>
  <si>
    <t>john@example.com</t>
  </si>
  <si>
    <t>john</t>
  </si>
  <si>
    <t>example.com</t>
  </si>
  <si>
    <t>joh</t>
  </si>
  <si>
    <t>n@example.com</t>
  </si>
  <si>
    <t xml:space="preserve">    jane Smith    </t>
  </si>
  <si>
    <t>jane Smith</t>
  </si>
  <si>
    <t>Alice     Johnson</t>
  </si>
  <si>
    <t>ALICE Johnson</t>
  </si>
  <si>
    <t>alice@example.com</t>
  </si>
  <si>
    <t>alice</t>
  </si>
  <si>
    <t>ali</t>
  </si>
  <si>
    <t>ce@example.com</t>
  </si>
  <si>
    <t xml:space="preserve">   BOB Brown</t>
  </si>
  <si>
    <t>BOB Brown</t>
  </si>
  <si>
    <t>BOB@example.com</t>
  </si>
  <si>
    <t>BOB</t>
  </si>
  <si>
    <t>@example.com</t>
  </si>
  <si>
    <t>Eva White</t>
  </si>
  <si>
    <t>eva@example.com</t>
  </si>
  <si>
    <t>eva</t>
  </si>
  <si>
    <t>John</t>
  </si>
  <si>
    <t>Doe</t>
  </si>
  <si>
    <t>Jane</t>
  </si>
  <si>
    <t>Smith</t>
  </si>
  <si>
    <t>Department</t>
  </si>
  <si>
    <t>Basics Salary</t>
  </si>
  <si>
    <t>Sales</t>
  </si>
  <si>
    <t>Marketing</t>
  </si>
  <si>
    <t>HR</t>
  </si>
  <si>
    <t>Join Date</t>
  </si>
  <si>
    <t>Year</t>
  </si>
  <si>
    <t>Month</t>
  </si>
  <si>
    <t>Day</t>
  </si>
  <si>
    <t>Jane Smith</t>
  </si>
  <si>
    <t>Alice Johnson</t>
  </si>
  <si>
    <t>Bob Brown</t>
  </si>
  <si>
    <t>today</t>
  </si>
  <si>
    <t>yesterday</t>
  </si>
  <si>
    <t>tommorrow</t>
  </si>
  <si>
    <t>Hour</t>
  </si>
  <si>
    <t>Minute</t>
  </si>
  <si>
    <t>Second</t>
  </si>
  <si>
    <t>DateDif</t>
  </si>
  <si>
    <t>Networking Days</t>
  </si>
  <si>
    <t>Workdays</t>
  </si>
  <si>
    <t>Project Start</t>
  </si>
  <si>
    <t>Project End</t>
  </si>
  <si>
    <t>Duration</t>
  </si>
  <si>
    <t>Rating</t>
  </si>
  <si>
    <t>Salary Status</t>
  </si>
  <si>
    <t>Performance</t>
  </si>
  <si>
    <t>Excellent</t>
  </si>
  <si>
    <t>Good</t>
  </si>
  <si>
    <t>Average</t>
  </si>
  <si>
    <t>Fine</t>
  </si>
  <si>
    <t>Poor</t>
  </si>
  <si>
    <t>Bonus</t>
  </si>
  <si>
    <t>Mr</t>
  </si>
  <si>
    <t>Ms</t>
  </si>
  <si>
    <t>Basic Salary</t>
  </si>
  <si>
    <t>Leave Balance</t>
  </si>
  <si>
    <t>HR Total</t>
  </si>
  <si>
    <t>Sales Total</t>
  </si>
  <si>
    <t>Eva white</t>
  </si>
  <si>
    <t>Marketing Total</t>
  </si>
  <si>
    <t>Grand Total</t>
  </si>
  <si>
    <t>Salary of John Doe(Vlookup)</t>
  </si>
  <si>
    <t>Salary of 3rd Row(Hlookup)</t>
  </si>
  <si>
    <t>Salary of jane smith(Index Match)</t>
  </si>
  <si>
    <t>Salary of Bob Brown(xlookup)</t>
  </si>
  <si>
    <t>Salary around 52000</t>
  </si>
  <si>
    <t>&gt;60000</t>
  </si>
</sst>
</file>

<file path=xl/styles.xml><?xml version="1.0" encoding="utf-8"?>
<styleSheet xmlns="http://schemas.openxmlformats.org/spreadsheetml/2006/main">
  <numFmts count="13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YYYY\-MM\-DD;@"/>
    <numFmt numFmtId="165" formatCode="YYYY\-MM\-DD\ hh:mm:ss"/>
    <numFmt numFmtId="166" formatCode="DD\-MM\-YYYY"/>
    <numFmt numFmtId="167" formatCode="[$-F400]h:mm:ss\ AM/PM"/>
    <numFmt numFmtId="1" formatCode="0"/>
  </numFmts>
  <fonts count="10">
    <font>
      <name val="Calibri"/>
      <family val="2"/>
      <color rgb="FF000000"/>
      <sz val="11"/>
      <extLst>
        <ext uri="smNativeData">
          <pm:charSpec xmlns:pm="smNativeData" id="1754492956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5449295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54492956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54492956" fgClr="0563C1" ulstyle="singl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FFFFFF"/>
      <sz val="11"/>
      <extLst>
        <ext uri="smNativeData">
          <pm:charSpec xmlns:pm="smNativeData" id="1754492956" fgClr="FFFFFF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b/>
      <color rgb="FFFF0000"/>
      <sz val="11"/>
      <extLst>
        <ext uri="smNativeData">
          <pm:charSpec xmlns:pm="smNativeData" id="1754492956" fgClr="FF0000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54492956" fgClr="0563C1" ulstyle="single" kern="1">
            <pm:latin face="Calibri" sz="220" lang="default"/>
            <pm:cs face="Times New Roman" sz="220" lang="default"/>
            <pm:ea face="SimSun" sz="220" lang="default"/>
            <hyperlink type="3" url="mailto:john@example.com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54492956" fgClr="0563C1" ulstyle="single" kern="1">
            <pm:latin face="Calibri" sz="220" lang="default"/>
            <pm:cs face="Times New Roman" sz="220" lang="default"/>
            <pm:ea face="SimSun" sz="220" lang="default"/>
            <hyperlink type="3" url="mailto:alice@example.com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54492956" fgClr="0563C1" ulstyle="single" kern="1">
            <pm:latin face="Calibri" sz="220" lang="default"/>
            <pm:cs face="Times New Roman" sz="220" lang="default"/>
            <pm:ea face="SimSun" sz="220" lang="default"/>
            <hyperlink type="3" url="mailto:bob@example.com" location="" text="bob@example.com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54492956" fgClr="0563C1" ulstyle="single" kern="1">
            <pm:latin face="Calibri" sz="220" lang="default"/>
            <pm:cs face="Times New Roman" sz="220" lang="default"/>
            <pm:ea face="SimSun" sz="220" lang="default"/>
            <hyperlink type="3" url="mailto:eva@example.com" location="" text="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54492956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449295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4492956"/>
        </ext>
      </extLst>
    </border>
  </borders>
  <cellStyleXfs count="2">
    <xf numFmtId="0" fontId="0" fillId="0" borderId="0" applyNumberFormat="1" applyFont="1" applyFill="1" applyBorder="1" applyAlignment="1" applyProtection="1"/>
    <xf numFmtId="0" fontId="3" fillId="0" borderId="0" applyNumberFormat="0" applyFont="1" applyFill="0" applyBorder="0" applyAlignment="0" applyProtection="0"/>
  </cellStyleXfs>
  <cellXfs count="22">
    <xf numFmtId="0" fontId="0" fillId="0" borderId="0" xfId="0"/>
    <xf numFmtId="0" fontId="3" fillId="0" borderId="0" xfId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0" fillId="0" borderId="0" xfId="0"/>
    <xf numFmtId="0" fontId="2" fillId="0" borderId="0" xfId="0" applyFont="1" applyAlignment="1">
      <alignment horizontal="center"/>
    </xf>
    <xf numFmtId="165" fontId="0" fillId="0" borderId="0" xfId="0" applyNumberFormat="1"/>
    <xf numFmtId="166" fontId="0" fillId="0" borderId="0" xfId="0" applyNumberFormat="1"/>
    <xf numFmtId="165" fontId="2" fillId="0" borderId="0" xfId="0" applyNumberFormat="1" applyFont="1" applyAlignment="1">
      <alignment horizontal="center"/>
    </xf>
    <xf numFmtId="167" fontId="0" fillId="0" borderId="0" xfId="0" applyNumberFormat="1"/>
    <xf numFmtId="0" fontId="0" fillId="0" borderId="0" xfId="0"/>
    <xf numFmtId="166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1" applyFont="1"/>
    <xf numFmtId="0" fontId="7" fillId="0" borderId="0" xfId="1" applyFont="1"/>
    <xf numFmtId="0" fontId="8" fillId="0" borderId="0" xfId="1" applyFont="1"/>
    <xf numFmtId="0" fontId="9" fillId="0" borderId="0" xfId="1" applyFont="1"/>
  </cellXfs>
  <cellStyles count="2">
    <cellStyle name="Normal" xfId="0" builtinId="0" customBuiltin="1"/>
    <cellStyle name="Hyperlink" xfId="1" builtinId="8" customBuiltin="1"/>
  </cellStyles>
  <tableStyles count="0"/>
  <extLst>
    <ext uri="smNativeData">
      <pm:charStyles xmlns:pm="smNativeData" id="1754492956" count="1">
        <pm:charStyle name="Normal" fontId="0" Id="1"/>
      </pm:charStyles>
      <pm:colors xmlns:pm="smNativeData" id="1754492956" count="1">
        <pm:color name="Color 24" rgb="0563C1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xMode val="edge"/>
          <c:yMode val="edge"/>
          <c:wMode val="factor"/>
          <c:hMode val="factor"/>
          <c:x val="0.074750"/>
          <c:y val="0.194750"/>
          <c:w val="0.822250"/>
          <c:h val="0.720750"/>
        </c:manualLayout>
      </c:layout>
      <c:barChart>
        <c:barDir val="bar"/>
        <c:grouping val="stacked"/>
        <c:ser>
          <c:idx val="1"/>
          <c:order val="0"/>
          <c:tx>
            <c:strRef>
              <c:f>Sheet5!$D$1</c:f>
              <c:strCache>
                <c:ptCount val="1"/>
                <c:pt idx="0">
                  <c:v>Project Start</c:v>
                </c:pt>
              </c:strCache>
            </c:strRef>
          </c:tx>
          <c:spPr>
            <a:solidFill>
              <a:srgbClr val="ED7D31"/>
            </a:solidFill>
            <a:ln w="9525">
              <a:noFill/>
            </a:ln>
          </c:spPr>
          <c:dLbls>
            <c:numFmt formatCode="General" sourceLinked="1"/>
            <c:spPr>
              <a:noFill/>
              <a:ln>
                <a:noFill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Sheet5!$A$2:$A$6</c:f>
              <c:strCache>
                <c:ptCount val="5"/>
                <c:pt idx="0">
                  <c:v>John Doe</c:v>
                </c:pt>
                <c:pt idx="1">
                  <c:v>Jane Smith</c:v>
                </c:pt>
                <c:pt idx="2">
                  <c:v>Alice Johnson</c:v>
                </c:pt>
                <c:pt idx="3">
                  <c:v>Bob Brown</c:v>
                </c:pt>
                <c:pt idx="4">
                  <c:v>Eva White</c:v>
                </c:pt>
              </c:strCache>
            </c:strRef>
          </c:cat>
          <c:val>
            <c:numRef>
              <c:f>Sheet5!$D$2:$D$6</c:f>
              <c:numCache>
                <c:formatCode>DD\-MM\-YYYY</c:formatCode>
                <c:ptCount val="5"/>
                <c:pt idx="0">
                  <c:v>45444</c:v>
                </c:pt>
                <c:pt idx="1">
                  <c:v>45444</c:v>
                </c:pt>
                <c:pt idx="2">
                  <c:v>45444</c:v>
                </c:pt>
                <c:pt idx="3">
                  <c:v>45444</c:v>
                </c:pt>
                <c:pt idx="4">
                  <c:v>45444</c:v>
                </c:pt>
              </c:numCache>
            </c:numRef>
          </c:val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ser>
          <c:idx val="0"/>
          <c:order val="1"/>
          <c:tx>
            <c:strRef>
              <c:f>Sheet5!$E$1</c:f>
              <c:strCache>
                <c:ptCount val="1"/>
                <c:pt idx="0">
                  <c:v>Project End</c:v>
                </c:pt>
              </c:strCache>
            </c:strRef>
          </c:tx>
          <c:spPr>
            <a:solidFill>
              <a:srgbClr val="4472C4"/>
            </a:solidFill>
            <a:ln w="9525">
              <a:noFill/>
            </a:ln>
          </c:spPr>
          <c:cat>
            <c:strRef>
              <c:f>Sheet5!$A$2:$A$6</c:f>
              <c:strCache>
                <c:ptCount val="5"/>
                <c:pt idx="0">
                  <c:v>John Doe</c:v>
                </c:pt>
                <c:pt idx="1">
                  <c:v>Jane Smith</c:v>
                </c:pt>
                <c:pt idx="2">
                  <c:v>Alice Johnson</c:v>
                </c:pt>
                <c:pt idx="3">
                  <c:v>Bob Brown</c:v>
                </c:pt>
                <c:pt idx="4">
                  <c:v>Eva White</c:v>
                </c:pt>
              </c:strCache>
            </c:strRef>
          </c:cat>
          <c:val>
            <c:numRef>
              <c:f>Sheet5!$E$2:$E$6</c:f>
              <c:numCache>
                <c:formatCode>DD\-MM\-YYYY</c:formatCode>
                <c:ptCount val="5"/>
                <c:pt idx="0">
                  <c:v>45458</c:v>
                </c:pt>
                <c:pt idx="1">
                  <c:v>45461</c:v>
                </c:pt>
                <c:pt idx="2">
                  <c:v>45463</c:v>
                </c:pt>
                <c:pt idx="3">
                  <c:v>45468</c:v>
                </c:pt>
                <c:pt idx="4">
                  <c:v>45473</c:v>
                </c:pt>
              </c:numCache>
            </c:numRef>
          </c:val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overlap val="100"/>
        <c:axId val="10"/>
        <c:axId val="11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8D8D8"/>
            </a:solidFill>
          </a:ln>
        </c:spPr>
        <c:txPr>
          <a:bodyPr anchor="ctr" anchorCtr="1" rot="-60000000"/>
          <a:lstStyle/>
          <a:p>
            <a:pPr>
              <a:defRPr lang="en-us" sz="900" b="0" i="0" u="none" strike="noStrike">
                <a:solidFill>
                  <a:srgbClr val="595959"/>
                </a:solidFill>
                <a:latin typeface="Calibri" charset="0"/>
              </a:defRPr>
            </a:pPr>
          </a:p>
        </c:txPr>
        <c:crossAx val="11"/>
        <c:crosses val="autoZero"/>
        <c:auto val="1"/>
      </c:catAx>
      <c:valAx>
        <c:axId val="11"/>
        <c:scaling>
          <c:orientation val="minMax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numFmt formatCode="DD\-MM\-YYYY" sourceLinked="1"/>
        <c:majorTickMark val="none"/>
        <c:minorTickMark val="none"/>
        <c:tickLblPos val="nextTo"/>
        <c:spPr>
          <a:ln w="9525">
            <a:noFill/>
          </a:ln>
        </c:spPr>
        <c:txPr>
          <a:bodyPr anchor="ctr" anchorCtr="1" rot="-60000000"/>
          <a:lstStyle/>
          <a:p>
            <a:pPr>
              <a:defRPr lang="en-us" sz="900" b="0" i="0" u="none" strike="noStrike">
                <a:solidFill>
                  <a:srgbClr val="595959"/>
                </a:solidFill>
                <a:latin typeface="Calibri" charset="0"/>
              </a:defRPr>
            </a:pPr>
          </a:p>
        </c:txPr>
        <c:crossAx val="10"/>
        <c:crosses val="autoZero"/>
        <c:crossBetween val="between"/>
      </c:valAx>
      <c:spPr>
        <a:noFill/>
        <a:ln w="9525"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8D8D8"/>
      </a:solidFill>
    </a:ln>
  </c:spPr>
  <c:txPr>
    <a:bodyPr anchor="t" rot="0"/>
    <a:lstStyle/>
    <a:p>
      <a:pPr>
        <a:defRPr lang="en-us" sz="1000" b="0" i="0" u="none" strike="noStrike" kern="100">
          <a:solidFill>
            <a:srgbClr val="000000"/>
          </a:solidFill>
          <a:latin typeface="Calibri" charset="0"/>
        </a:defRPr>
      </a:pPr>
    </a:p>
  </c:txPr>
  <c:extLst>
    <c:ext xmlns:sm="smo" uri="smo">
      <sm:colorScheme xmlns:sm="smo" id="1754492956" val="15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/>
      <c:barChart>
        <c:barDir val="bar"/>
        <c:grouping val="stacked"/>
        <c:ser>
          <c:idx val="0"/>
          <c:order val="0"/>
          <c:tx>
            <c:strRef>
              <c:f>Sheet6!$D$1</c:f>
              <c:strCache>
                <c:ptCount val="1"/>
                <c:pt idx="0">
                  <c:v>Project Start</c:v>
                </c:pt>
              </c:strCache>
            </c:strRef>
          </c:tx>
          <c:spPr>
            <a:solidFill>
              <a:srgbClr val="FFFFFF"/>
            </a:solidFill>
            <a:ln w="9525">
              <a:noFill/>
            </a:ln>
          </c:spPr>
          <c:dLbls>
            <c:numFmt formatCode="General" sourceLinked="1"/>
            <c:spPr>
              <a:noFill/>
              <a:ln>
                <a:noFill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Sheet6!$A$2:$A$6</c:f>
              <c:strCache>
                <c:ptCount val="5"/>
                <c:pt idx="0">
                  <c:v>John Doe</c:v>
                </c:pt>
                <c:pt idx="1">
                  <c:v>Jane Smith</c:v>
                </c:pt>
                <c:pt idx="2">
                  <c:v>Alice Johnson</c:v>
                </c:pt>
                <c:pt idx="3">
                  <c:v>Bob Brown</c:v>
                </c:pt>
                <c:pt idx="4">
                  <c:v>Eva White</c:v>
                </c:pt>
              </c:strCache>
            </c:strRef>
          </c:cat>
          <c:val>
            <c:numRef>
              <c:f>Sheet6!$D$2:$D$6</c:f>
              <c:numCache>
                <c:formatCode>DD\-MM\-YYYY</c:formatCode>
                <c:ptCount val="5"/>
                <c:pt idx="0">
                  <c:v>45444</c:v>
                </c:pt>
                <c:pt idx="1">
                  <c:v>45444</c:v>
                </c:pt>
                <c:pt idx="2">
                  <c:v>45444</c:v>
                </c:pt>
                <c:pt idx="3">
                  <c:v>45444</c:v>
                </c:pt>
                <c:pt idx="4">
                  <c:v>45444</c:v>
                </c:pt>
              </c:numCache>
            </c:numRef>
          </c:val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ser>
          <c:idx val="1"/>
          <c:order val="1"/>
          <c:tx>
            <c:strRef>
              <c:f>Sheet6!$F$1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ED7D31"/>
            </a:solidFill>
            <a:ln w="9525">
              <a:noFill/>
            </a:ln>
          </c:spPr>
          <c:val>
            <c:numRef>
              <c:f>Sheet6!$F$2:$F$6</c:f>
              <c:numCache>
                <c:formatCode>0</c:formatCode>
                <c:ptCount val="5"/>
                <c:pt idx="0">
                  <c:v>14</c:v>
                </c:pt>
                <c:pt idx="1">
                  <c:v>17</c:v>
                </c:pt>
                <c:pt idx="2">
                  <c:v>19</c:v>
                </c:pt>
                <c:pt idx="3">
                  <c:v>24</c:v>
                </c:pt>
                <c:pt idx="4">
                  <c:v>29</c:v>
                </c:pt>
              </c:numCache>
            </c:numRef>
          </c:val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overlap val="100"/>
        <c:axId val="10"/>
        <c:axId val="11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8D8D8"/>
            </a:solidFill>
          </a:ln>
        </c:spPr>
        <c:txPr>
          <a:bodyPr anchor="ctr" anchorCtr="1" rot="-60000000"/>
          <a:lstStyle/>
          <a:p>
            <a:pPr>
              <a:defRPr lang="en-us" sz="900" b="0" i="0" u="none" strike="noStrike">
                <a:solidFill>
                  <a:srgbClr val="595959"/>
                </a:solidFill>
                <a:latin typeface="Calibri" charset="0"/>
              </a:defRPr>
            </a:pPr>
          </a:p>
        </c:txPr>
        <c:crossAx val="11"/>
        <c:crosses val="autoZero"/>
        <c:auto val="1"/>
      </c:catAx>
      <c:valAx>
        <c:axId val="11"/>
        <c:scaling>
          <c:orientation val="minMax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numFmt formatCode="DD\-MM\-YYYY" sourceLinked="1"/>
        <c:majorTickMark val="none"/>
        <c:minorTickMark val="none"/>
        <c:tickLblPos val="nextTo"/>
        <c:spPr>
          <a:ln w="9525">
            <a:noFill/>
          </a:ln>
        </c:spPr>
        <c:txPr>
          <a:bodyPr anchor="ctr" anchorCtr="1" rot="-60000000"/>
          <a:lstStyle/>
          <a:p>
            <a:pPr>
              <a:defRPr lang="en-us" sz="900" b="0" i="0" u="none" strike="noStrike">
                <a:solidFill>
                  <a:srgbClr val="595959"/>
                </a:solidFill>
                <a:latin typeface="Calibri" charset="0"/>
              </a:defRPr>
            </a:pPr>
          </a:p>
        </c:txPr>
        <c:crossAx val="10"/>
        <c:crosses val="autoZero"/>
        <c:crossBetween val="between"/>
      </c:valAx>
      <c:spPr>
        <a:noFill/>
        <a:ln w="9525"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8D8D8"/>
      </a:solidFill>
    </a:ln>
  </c:spPr>
  <c:txPr>
    <a:bodyPr anchor="t" rot="0"/>
    <a:lstStyle/>
    <a:p>
      <a:pPr>
        <a:defRPr lang="en-us" sz="1000" b="0" i="0" u="none" strike="noStrike" kern="100">
          <a:solidFill>
            <a:srgbClr val="000000"/>
          </a:solidFill>
          <a:latin typeface="Calibri" charset="0"/>
        </a:defRPr>
      </a:pPr>
    </a:p>
  </c:txPr>
  <c:extLst>
    <c:ext xmlns:sm="smo" uri="smo">
      <sm:colorScheme xmlns:sm="smo" id="1754492956" val="15"/>
    </c:ext>
  </c:extLst>
</c:chartSpace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 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285750</xdr:colOff>
      <xdr:row>6</xdr:row>
      <xdr:rowOff>76200</xdr:rowOff>
    </xdr:from>
    <xdr:to>
      <xdr:col>18</xdr:col>
      <xdr:colOff>542925</xdr:colOff>
      <xdr:row>20</xdr:row>
      <xdr:rowOff>152400</xdr:rowOff>
    </xdr:to>
    <xdr:graphicFrame macro="">
      <xdr:nvGraphicFramePr>
        <xdr:cNvPr id="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6</xdr:row>
      <xdr:rowOff>38100</xdr:rowOff>
    </xdr:from>
    <xdr:to>
      <xdr:col>9</xdr:col>
      <xdr:colOff>57150</xdr:colOff>
      <xdr:row>20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hyperlink" Target="mailto:john@example.com" TargetMode="External"/><Relationship Id="rId2" Type="http://schemas.openxmlformats.org/officeDocument/2006/relationships/hyperlink" Target="mailto:alice@example.com" TargetMode="External"/><Relationship Id="rId3" Type="http://schemas.openxmlformats.org/officeDocument/2006/relationships/hyperlink" Target="mailto:bob@example.com" TargetMode="External"/><Relationship Id="rId4" Type="http://schemas.openxmlformats.org/officeDocument/2006/relationships/hyperlink" Target="mailto:eva@example.com" TargetMode="External"/></Relationships>
</file>

<file path=xl/worksheets/_rels/sheet5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L20"/>
  <sheetViews>
    <sheetView view="normal" workbookViewId="0">
      <selection activeCell="F2" sqref="F2"/>
    </sheetView>
  </sheetViews>
  <sheetFormatPr defaultRowHeight="15.40"/>
  <cols>
    <col min="1" max="1" width="11.857143" customWidth="1"/>
    <col min="2" max="3" width="10.428571" customWidth="1"/>
    <col min="4" max="4" width="20.571429" customWidth="1" style="4"/>
    <col min="5" max="5" width="13.142857" customWidth="1"/>
    <col min="7" max="7" width="11.857143" customWidth="1"/>
  </cols>
  <sheetData>
    <row r="1" spans="1:11" s="2" customForma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K1"/>
    </row>
    <row r="2" spans="1:11">
      <c r="A2" t="s">
        <v>7</v>
      </c>
      <c r="B2" t="n">
        <v>10</v>
      </c>
      <c r="C2" t="n">
        <v>2.5</v>
      </c>
      <c r="D2" s="4" t="n">
        <v>45444</v>
      </c>
      <c r="E2">
        <f>B2*C2</f>
        <v>25</v>
      </c>
      <c r="F2">
        <f>E2*($C$8/100)</f>
        <v>4.5</v>
      </c>
      <c r="G2">
        <f>$E2-$F2</f>
        <v>20.5</v>
      </c>
      <c r="J2">
        <f>H2-I2</f>
        <v>0</v>
      </c>
      <c r="K2">
        <f>$E2-$F2</f>
        <v>20.5</v>
      </c>
    </row>
    <row r="3" spans="1:7">
      <c r="A3" t="s">
        <v>8</v>
      </c>
      <c r="B3" t="n">
        <v>15</v>
      </c>
      <c r="C3" t="n">
        <v>1.19999999999999996</v>
      </c>
      <c r="D3" s="4" t="n">
        <v>45445</v>
      </c>
      <c r="E3">
        <f>B3*C3</f>
        <v>18</v>
      </c>
      <c r="F3">
        <f>E3*($C$8/100)</f>
        <v>3.24000000000000021</v>
      </c>
      <c r="G3">
        <f>$E3-$F3</f>
        <v>14.7599999999999998</v>
      </c>
    </row>
    <row r="4" spans="1:12">
      <c r="A4" t="s">
        <v>9</v>
      </c>
      <c r="B4" t="n">
        <v>7</v>
      </c>
      <c r="C4" t="n">
        <v>3</v>
      </c>
      <c r="D4" s="4" t="n">
        <v>45446</v>
      </c>
      <c r="E4">
        <f>B4*C4</f>
        <v>21</v>
      </c>
      <c r="F4">
        <f>E4*($C$8/100)</f>
        <v>3.7799999999999998</v>
      </c>
      <c r="G4">
        <f>$E4-$F4</f>
        <v>17.2199999999999989</v>
      </c>
      <c r="L4" t="n">
        <v>12</v>
      </c>
    </row>
    <row r="5" spans="1:12">
      <c r="A5" t="s">
        <v>10</v>
      </c>
      <c r="B5" t="n">
        <v>20</v>
      </c>
      <c r="C5" t="n">
        <v>1.8</v>
      </c>
      <c r="D5" s="4" t="n">
        <v>45447</v>
      </c>
      <c r="E5">
        <f>B5*C5</f>
        <v>36</v>
      </c>
      <c r="F5">
        <f>E5*($C$8/100)</f>
        <v>6.48000000000000043</v>
      </c>
      <c r="G5">
        <f>$E5-$F5</f>
        <v>29.5199999999999996</v>
      </c>
      <c r="L5" t="n">
        <v>24</v>
      </c>
    </row>
    <row r="6" spans="1:12">
      <c r="A6" t="s">
        <v>11</v>
      </c>
      <c r="B6" t="n">
        <v>5</v>
      </c>
      <c r="C6" t="n">
        <v>4</v>
      </c>
      <c r="D6" s="4" t="n">
        <v>45448</v>
      </c>
      <c r="E6">
        <f>B6*C6</f>
        <v>20</v>
      </c>
      <c r="F6">
        <f>E6*($C$8/100)</f>
        <v>3.60000000000000009</v>
      </c>
      <c r="G6">
        <f>$E6-$F6</f>
        <v>16.3999999999999986</v>
      </c>
      <c r="L6" t="n">
        <v>36</v>
      </c>
    </row>
    <row r="7" spans="12:12">
      <c r="L7" t="n">
        <v>48</v>
      </c>
    </row>
    <row r="8" spans="2:12">
      <c r="B8" t="s">
        <v>5</v>
      </c>
      <c r="C8" t="n">
        <v>18</v>
      </c>
      <c r="G8">
        <f>E8-F8</f>
        <v>0</v>
      </c>
      <c r="L8" t="n">
        <v>60</v>
      </c>
    </row>
    <row r="9" spans="12:12">
      <c r="L9" t="n">
        <v>72</v>
      </c>
    </row>
    <row r="10" spans="9:12">
      <c r="I10" t="n">
        <v>1</v>
      </c>
      <c r="K10">
        <f>$E10-$F10</f>
        <v>0</v>
      </c>
      <c r="L10" t="n">
        <v>84</v>
      </c>
    </row>
    <row r="11" spans="4:12">
      <c r="D11">
        <f>$E11-C$2</f>
        <v>-2.5</v>
      </c>
      <c r="I11" t="n">
        <v>1</v>
      </c>
      <c r="L11" t="n">
        <v>96</v>
      </c>
    </row>
    <row r="12" spans="2:12">
      <c r="B12" t="n">
        <v>90</v>
      </c>
      <c r="C12" t="n">
        <v>5</v>
      </c>
      <c r="E12" t="n">
        <v>1</v>
      </c>
      <c r="F12" t="s">
        <v>12</v>
      </c>
      <c r="I12" t="n">
        <v>1</v>
      </c>
      <c r="L12" t="n">
        <v>108</v>
      </c>
    </row>
    <row r="13" spans="4:12">
      <c r="D13">
        <f>C13*($C$8/100)</f>
        <v>0</v>
      </c>
      <c r="E13" t="n">
        <v>2</v>
      </c>
      <c r="F13" t="s">
        <v>13</v>
      </c>
      <c r="I13" t="n">
        <v>1</v>
      </c>
      <c r="L13" t="n">
        <v>120</v>
      </c>
    </row>
    <row r="14" spans="5:9">
      <c r="E14" t="n">
        <v>3</v>
      </c>
      <c r="F14" t="s">
        <v>14</v>
      </c>
      <c r="I14" t="n">
        <v>1</v>
      </c>
    </row>
    <row r="15" spans="4:9">
      <c r="D15">
        <f>B15-C15</f>
        <v>0</v>
      </c>
      <c r="E15" t="n">
        <v>4</v>
      </c>
      <c r="F15" t="s">
        <v>15</v>
      </c>
      <c r="I15" t="n">
        <v>1</v>
      </c>
    </row>
    <row r="16" spans="5:9">
      <c r="E16" t="n">
        <v>5</v>
      </c>
      <c r="F16" t="s">
        <v>16</v>
      </c>
      <c r="I16" t="n">
        <v>1</v>
      </c>
    </row>
    <row r="17" spans="5:9">
      <c r="E17" t="n">
        <v>6</v>
      </c>
      <c r="F17" t="s">
        <v>17</v>
      </c>
      <c r="I17" t="n">
        <v>1</v>
      </c>
    </row>
    <row r="18" spans="5:9">
      <c r="E18" t="n">
        <v>7</v>
      </c>
      <c r="F18" t="s">
        <v>18</v>
      </c>
      <c r="I18" t="n">
        <v>1</v>
      </c>
    </row>
    <row r="19" spans="5:9">
      <c r="E19" t="n">
        <v>8</v>
      </c>
      <c r="F19" t="s">
        <v>12</v>
      </c>
      <c r="I19" t="n">
        <v>1</v>
      </c>
    </row>
    <row r="20" spans="5:9">
      <c r="E20" t="n">
        <v>9</v>
      </c>
      <c r="F20" t="s">
        <v>13</v>
      </c>
      <c r="I20" t="n">
        <v>1</v>
      </c>
    </row>
  </sheetData>
  <printOptions>
    <extLst>
      <ext uri="smNativeData">
        <pm:pageFlags xmlns:pm="smNativeData" id="175449295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54492956" l="56" r="56" t="56" b="56" borderId="0" fillId="0" vertical="0"/>
        <pm:footer xmlns:pm="smNativeData" id="1754492956" l="56" r="56" t="56" b="56" borderId="0" fillId="0" vertical="2"/>
        <pm:paperBin xmlns:pm="smNativeData" id="1754492956" Id="0" type="0" value="0"/>
        <pm:paperBin xmlns:pm="smNativeData" id="1754492956" Id="1" type="0" value="0"/>
      </ext>
    </extLst>
  </headerFooter>
  <extLst>
    <ext uri="smNativeData">
      <pm:sheetPrefs xmlns:pm="smNativeData" day="175449295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L12"/>
  <sheetViews>
    <sheetView view="normal" topLeftCell="C1" workbookViewId="0">
      <selection activeCell="D13" sqref="D13"/>
    </sheetView>
  </sheetViews>
  <sheetFormatPr defaultRowHeight="15.40"/>
  <cols>
    <col min="1" max="1" width="15.000000" hidden="1" customWidth="1">
      <extLst>
        <ext uri="smNativeData">
          <pm:columnDef xmlns:pm="smNativeData" id="1754492956" min="1" max="1" hidden="1" collapsedDB="0" collapsedOL="0"/>
        </ext>
      </extLst>
    </col>
    <col min="2" max="2" width="15.714286" hidden="1" customWidth="1">
      <extLst>
        <ext uri="smNativeData">
          <pm:columnDef xmlns:pm="smNativeData" id="1754492956" min="2" max="2" hidden="1" collapsedDB="0" collapsedOL="0"/>
        </ext>
      </extLst>
    </col>
    <col min="3" max="3" width="16.000000" customWidth="1"/>
    <col min="4" max="4" width="19.285714" customWidth="1"/>
    <col min="5" max="5" width="19.142857" customWidth="1"/>
    <col min="6" max="6" width="13.285714" customWidth="1"/>
    <col min="7" max="7" width="10.428571" customWidth="1"/>
    <col min="8" max="8" width="10.142857" customWidth="1"/>
    <col min="10" max="10" width="13.142857" customWidth="1"/>
    <col min="11" max="11" width="18.142857" customWidth="1"/>
  </cols>
  <sheetData>
    <row r="1" spans="1:11" s="6" customFormat="1">
      <c r="A1" s="6" t="s">
        <v>19</v>
      </c>
      <c r="B1" s="6" t="s">
        <v>20</v>
      </c>
      <c r="C1" s="6" t="s">
        <v>21</v>
      </c>
      <c r="D1" s="6" t="s">
        <v>22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</row>
    <row r="2" spans="1:12" s="5" customFormat="1">
      <c r="A2" s="5" t="s">
        <v>29</v>
      </c>
      <c r="B2" s="5" t="s">
        <v>30</v>
      </c>
      <c r="C2" s="5" t="str">
        <f>PROPER(B2)</f>
        <v>John Doe</v>
      </c>
      <c r="D2" s="18" t="s">
        <v>31</v>
      </c>
      <c r="E2" s="5" t="str">
        <f>LOWER(D2)</f>
        <v>john@example.com</v>
      </c>
      <c r="F2" s="5" t="str">
        <f>RIGHT(E2,11)</f>
        <v>example.com</v>
      </c>
      <c r="G2" s="5" t="str">
        <f>LEFT(C2,3)</f>
        <v>Joh</v>
      </c>
      <c r="H2" s="5" t="str">
        <f>MID(E2,6,7)</f>
        <v>example</v>
      </c>
      <c r="I2" s="5" t="s">
        <v>32</v>
      </c>
      <c r="J2" s="5" t="s">
        <v>33</v>
      </c>
      <c r="K2" s="5" t="s">
        <v>34</v>
      </c>
      <c r="L2" s="5" t="s">
        <v>35</v>
      </c>
    </row>
    <row r="3" spans="1:12" s="5" customFormat="1">
      <c r="A3" s="5" t="s">
        <v>36</v>
      </c>
      <c r="B3" s="5" t="s">
        <v>37</v>
      </c>
      <c r="C3" s="5" t="str">
        <f>PROPER(B3)</f>
        <v>Jane Smith</v>
      </c>
      <c r="D3" s="18" t="s">
        <v>31</v>
      </c>
      <c r="E3" s="5" t="str">
        <f>LOWER(D3)</f>
        <v>john@example.com</v>
      </c>
      <c r="F3" s="5" t="str">
        <f>RIGHT(E3,11)</f>
        <v>example.com</v>
      </c>
      <c r="G3" s="5" t="str">
        <f>LEFT(C3,3)</f>
        <v>Jan</v>
      </c>
      <c r="H3" s="5" t="str">
        <f>MID(E3,6,7)</f>
        <v>example</v>
      </c>
      <c r="I3" s="5" t="s">
        <v>32</v>
      </c>
      <c r="J3" s="5" t="s">
        <v>33</v>
      </c>
      <c r="K3" s="5" t="s">
        <v>34</v>
      </c>
      <c r="L3" s="5" t="s">
        <v>35</v>
      </c>
    </row>
    <row r="4" spans="1:12" s="5" customFormat="1">
      <c r="A4" s="5" t="s">
        <v>38</v>
      </c>
      <c r="B4" s="5" t="s">
        <v>39</v>
      </c>
      <c r="C4" s="5" t="str">
        <f>PROPER(B4)</f>
        <v>Alice Johnson</v>
      </c>
      <c r="D4" s="19" t="s">
        <v>40</v>
      </c>
      <c r="E4" s="5" t="str">
        <f>LOWER(D4)</f>
        <v>alice@example.com</v>
      </c>
      <c r="F4" s="5" t="str">
        <f>RIGHT(E4,11)</f>
        <v>example.com</v>
      </c>
      <c r="G4" s="5" t="str">
        <f>LEFT(C4,3)</f>
        <v>Ali</v>
      </c>
      <c r="H4" s="5" t="str">
        <f>MID(E4,6,7)</f>
        <v>@exampl</v>
      </c>
      <c r="I4" s="5" t="s">
        <v>41</v>
      </c>
      <c r="J4" s="5" t="s">
        <v>33</v>
      </c>
      <c r="K4" s="5" t="s">
        <v>42</v>
      </c>
      <c r="L4" s="5" t="s">
        <v>43</v>
      </c>
    </row>
    <row r="5" spans="1:12" s="5" customFormat="1">
      <c r="A5" s="5" t="s">
        <v>44</v>
      </c>
      <c r="B5" s="5" t="s">
        <v>45</v>
      </c>
      <c r="C5" s="5" t="str">
        <f>PROPER(B5)</f>
        <v>Bob Brown</v>
      </c>
      <c r="D5" s="20" t="s">
        <v>46</v>
      </c>
      <c r="E5" s="5" t="str">
        <f>LOWER(D5)</f>
        <v>bob@example.com</v>
      </c>
      <c r="F5" s="5" t="str">
        <f>RIGHT(E5,11)</f>
        <v>example.com</v>
      </c>
      <c r="G5" s="5" t="str">
        <f>LEFT(C5,3)</f>
        <v>Bob</v>
      </c>
      <c r="H5" s="5" t="str">
        <f>MID(E5,6,7)</f>
        <v>xample.</v>
      </c>
      <c r="I5" s="5" t="s">
        <v>47</v>
      </c>
      <c r="J5" s="5" t="s">
        <v>33</v>
      </c>
      <c r="K5" s="5" t="s">
        <v>47</v>
      </c>
      <c r="L5" s="5" t="s">
        <v>48</v>
      </c>
    </row>
    <row r="6" spans="1:12" s="5" customFormat="1">
      <c r="A6" s="5" t="s">
        <v>49</v>
      </c>
      <c r="B6" s="5" t="s">
        <v>49</v>
      </c>
      <c r="C6" s="5" t="str">
        <f>PROPER(B6)</f>
        <v>Eva White</v>
      </c>
      <c r="D6" s="21" t="s">
        <v>50</v>
      </c>
      <c r="E6" s="5" t="str">
        <f>LOWER(D6)</f>
        <v>eva@example.com</v>
      </c>
      <c r="F6" s="5" t="str">
        <f>RIGHT(E6,11)</f>
        <v>example.com</v>
      </c>
      <c r="G6" s="5" t="str">
        <f>LEFT(C6,3)</f>
        <v>Eva</v>
      </c>
      <c r="H6" s="5" t="str">
        <f>MID(E6,6,7)</f>
        <v>xample.</v>
      </c>
      <c r="I6" s="5" t="s">
        <v>51</v>
      </c>
      <c r="J6" s="5" t="s">
        <v>33</v>
      </c>
      <c r="K6" s="5" t="s">
        <v>51</v>
      </c>
      <c r="L6" s="5" t="s">
        <v>48</v>
      </c>
    </row>
    <row r="9" spans="5:7">
      <c r="E9" t="s">
        <v>52</v>
      </c>
      <c r="F9" t="s">
        <v>53</v>
      </c>
      <c r="G9" t="str">
        <f>E9&amp;" "&amp;F9</f>
        <v>John Doe</v>
      </c>
    </row>
    <row r="10" spans="5:7">
      <c r="E10" t="s">
        <v>54</v>
      </c>
      <c r="F10" t="s">
        <v>55</v>
      </c>
      <c r="G10" t="str">
        <f>_xlfn.CONCAT(E10," ",F10)</f>
        <v>Jane Smith</v>
      </c>
    </row>
    <row r="11" spans="5:7">
      <c r="E11" t="s">
        <v>52</v>
      </c>
      <c r="F11" t="s">
        <v>53</v>
      </c>
      <c r="G11" t="str">
        <f>_xlfn.TEXTJOIN("-",FALSE,E11,F11)</f>
        <v>John-Doe</v>
      </c>
    </row>
    <row r="12" spans="5:7">
      <c r="E12" t="s">
        <v>52</v>
      </c>
      <c r="F12" t="s">
        <v>53</v>
      </c>
      <c r="G12" t="str">
        <f>_xlfn.TEXTJOIN("-",TRUE,E12,F12)</f>
        <v>John-Doe</v>
      </c>
    </row>
  </sheetData>
  <hyperlinks>
    <hyperlink ref="D2" r:id="rId1"/>
    <hyperlink ref="D3" r:id="rId1"/>
    <hyperlink ref="D4" r:id="rId2"/>
    <hyperlink ref="D5" r:id="rId3"/>
    <hyperlink ref="D6" r:id="rId4"/>
  </hyperlinks>
  <printOptions>
    <extLst>
      <ext uri="smNativeData">
        <pm:pageFlags xmlns:pm="smNativeData" id="175449295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/>
  <headerFooter>
    <extLst>
      <ext uri="smNativeData">
        <pm:header xmlns:pm="smNativeData" id="1754492956" l="56" r="56" t="56" b="56" borderId="0" fillId="0" vertical="0"/>
        <pm:footer xmlns:pm="smNativeData" id="1754492956" l="56" r="56" t="56" b="56" borderId="0" fillId="0" vertical="2"/>
        <pm:paperBin xmlns:pm="smNativeData" id="1754492956" Id="0" type="0" value="0"/>
        <pm:paperBin xmlns:pm="smNativeData" id="1754492956" Id="1" type="0" value="0"/>
      </ext>
    </extLst>
  </headerFooter>
  <extLst>
    <ext uri="smNativeData">
      <pm:sheetPrefs xmlns:pm="smNativeData" day="175449295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G15"/>
  <sheetViews>
    <sheetView view="normal" workbookViewId="0">
      <selection activeCell="B1" sqref="B1:B6"/>
    </sheetView>
  </sheetViews>
  <sheetFormatPr defaultRowHeight="15.40"/>
  <cols>
    <col min="1" max="1" width="11.714286" customWidth="1"/>
    <col min="2" max="3" width="12.000000" customWidth="1"/>
    <col min="7" max="7" width="12.000000" customWidth="1"/>
  </cols>
  <sheetData>
    <row r="1" spans="1:2" s="2" customFormat="1">
      <c r="A1" s="2" t="s">
        <v>56</v>
      </c>
      <c r="B1" s="2" t="s">
        <v>57</v>
      </c>
    </row>
    <row r="2" spans="1:2">
      <c r="A2" t="s">
        <v>58</v>
      </c>
      <c r="B2" t="n">
        <v>50000</v>
      </c>
    </row>
    <row r="3" spans="1:2">
      <c r="A3" t="s">
        <v>59</v>
      </c>
      <c r="B3" t="n">
        <v>60000</v>
      </c>
    </row>
    <row r="4" spans="1:2">
      <c r="A4" t="s">
        <v>58</v>
      </c>
      <c r="B4" t="n">
        <v>55000</v>
      </c>
    </row>
    <row r="5" spans="1:2">
      <c r="A5" t="s">
        <v>60</v>
      </c>
      <c r="B5" t="n">
        <v>45000</v>
      </c>
    </row>
    <row r="6" spans="1:2">
      <c r="A6" t="s">
        <v>59</v>
      </c>
      <c r="B6" t="n">
        <v>70000</v>
      </c>
    </row>
    <row r="7" spans="7:7">
      <c r="G7" t="s">
        <v>57</v>
      </c>
    </row>
    <row r="8" spans="6:7">
      <c r="F8" t="s">
        <v>58</v>
      </c>
      <c r="G8" t="n">
        <v>52500</v>
      </c>
    </row>
    <row r="9" spans="6:7">
      <c r="F9" t="s">
        <v>59</v>
      </c>
      <c r="G9" t="n">
        <v>65000</v>
      </c>
    </row>
    <row r="10" spans="6:7">
      <c r="F10" t="s">
        <v>60</v>
      </c>
      <c r="G10" t="n">
        <v>45000</v>
      </c>
    </row>
    <row r="12" spans="3:3">
      <c r="C12" t="s">
        <v>57</v>
      </c>
    </row>
    <row r="13" spans="2:3">
      <c r="B13" t="s">
        <v>58</v>
      </c>
      <c r="C13" t="n">
        <v>105000</v>
      </c>
    </row>
    <row r="14" spans="2:3">
      <c r="B14" t="s">
        <v>59</v>
      </c>
      <c r="C14" t="n">
        <v>130000</v>
      </c>
    </row>
    <row r="15" spans="2:3">
      <c r="B15" t="s">
        <v>60</v>
      </c>
      <c r="C15" t="n">
        <v>45000</v>
      </c>
    </row>
  </sheetData>
  <printOptions>
    <extLst>
      <ext uri="smNativeData">
        <pm:pageFlags xmlns:pm="smNativeData" id="175449295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/>
  <headerFooter>
    <extLst>
      <ext uri="smNativeData">
        <pm:header xmlns:pm="smNativeData" id="1754492956" l="56" r="56" t="56" b="56" borderId="0" fillId="0" vertical="0"/>
        <pm:footer xmlns:pm="smNativeData" id="1754492956" l="56" r="56" t="56" b="56" borderId="0" fillId="0" vertical="2"/>
        <pm:paperBin xmlns:pm="smNativeData" id="1754492956" Id="0" type="0" value="0"/>
        <pm:paperBin xmlns:pm="smNativeData" id="1754492956" Id="1" type="0" value="0"/>
      </ext>
    </extLst>
  </headerFooter>
  <extLst>
    <ext uri="smNativeData">
      <pm:sheetPrefs xmlns:pm="smNativeData" day="175449295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18"/>
  <sheetViews>
    <sheetView tabSelected="1" view="normal" workbookViewId="0">
      <selection activeCell="C1" sqref="C1:C6"/>
    </sheetView>
  </sheetViews>
  <sheetFormatPr defaultRowHeight="15.40"/>
  <cols>
    <col min="1" max="1" width="16.142857" customWidth="1"/>
    <col min="2" max="2" width="21.428571" customWidth="1" style="7"/>
    <col min="3" max="3" width="12.000000" customWidth="1"/>
    <col min="4" max="6" width="9.142857" customWidth="1"/>
  </cols>
  <sheetData>
    <row r="1" spans="1:6" s="6" customFormat="1">
      <c r="A1" s="6" t="s">
        <v>19</v>
      </c>
      <c r="B1" s="9" t="s">
        <v>61</v>
      </c>
      <c r="C1" s="6" t="s">
        <v>57</v>
      </c>
      <c r="D1" s="6" t="s">
        <v>62</v>
      </c>
      <c r="E1" s="6" t="s">
        <v>63</v>
      </c>
      <c r="F1" s="6" t="s">
        <v>64</v>
      </c>
    </row>
    <row r="2" spans="1:6">
      <c r="A2" t="s">
        <v>30</v>
      </c>
      <c r="B2" s="8" t="n">
        <v>44691</v>
      </c>
      <c r="C2" t="n">
        <v>50000</v>
      </c>
      <c r="D2">
        <f>YEAR(B2)</f>
        <v>2022</v>
      </c>
      <c r="E2">
        <f>MONTH(B2)</f>
        <v>5</v>
      </c>
      <c r="F2">
        <f>DAY(B2)</f>
        <v>10</v>
      </c>
    </row>
    <row r="3" spans="1:6">
      <c r="A3" t="s">
        <v>65</v>
      </c>
      <c r="B3" s="8" t="n">
        <v>44941</v>
      </c>
      <c r="C3" t="n">
        <v>60000</v>
      </c>
      <c r="D3">
        <f>YEAR(B3)</f>
        <v>2023</v>
      </c>
      <c r="E3">
        <f>MONTH(B3)</f>
        <v>1</v>
      </c>
      <c r="F3">
        <f>DAY(B3)</f>
        <v>15</v>
      </c>
    </row>
    <row r="4" spans="1:6">
      <c r="A4" t="s">
        <v>66</v>
      </c>
      <c r="B4" s="8" t="n">
        <v>44378</v>
      </c>
      <c r="C4" t="n">
        <v>55000</v>
      </c>
      <c r="D4">
        <f>YEAR(B4)</f>
        <v>2021</v>
      </c>
      <c r="E4">
        <f>MONTH(B4)</f>
        <v>7</v>
      </c>
      <c r="F4">
        <f>DAY(B4)</f>
        <v>1</v>
      </c>
    </row>
    <row r="5" spans="1:6">
      <c r="A5" t="s">
        <v>67</v>
      </c>
      <c r="B5" s="8" t="n">
        <v>45219</v>
      </c>
      <c r="C5" t="n">
        <v>45000</v>
      </c>
      <c r="D5">
        <f>YEAR(B5)</f>
        <v>2023</v>
      </c>
      <c r="E5">
        <f>MONTH(B5)</f>
        <v>10</v>
      </c>
      <c r="F5">
        <f>DAY(B5)</f>
        <v>20</v>
      </c>
    </row>
    <row r="6" spans="1:6">
      <c r="A6" t="s">
        <v>49</v>
      </c>
      <c r="B6" s="8" t="n">
        <v>43895</v>
      </c>
      <c r="C6" t="n">
        <v>70000</v>
      </c>
      <c r="D6">
        <f>YEAR(B6)</f>
        <v>2020</v>
      </c>
      <c r="E6">
        <f>MONTH(B6)</f>
        <v>3</v>
      </c>
      <c r="F6">
        <f>DAY(B6)</f>
        <v>5</v>
      </c>
    </row>
    <row r="9" spans="1:4">
      <c r="A9" t="s">
        <v>68</v>
      </c>
      <c r="B9" s="8">
        <f aca="1">TODAY()</f>
        <v>45875</v>
      </c>
      <c r="C9">
        <f>YEAR(B9)</f>
        <v>2025</v>
      </c>
      <c r="D9" t="s">
        <v>62</v>
      </c>
    </row>
    <row r="10" spans="1:4">
      <c r="A10" t="s">
        <v>69</v>
      </c>
      <c r="B10" s="8">
        <f aca="1">TODAY()-1</f>
        <v>45874</v>
      </c>
      <c r="C10">
        <f>MONTH(B10)</f>
        <v>8</v>
      </c>
      <c r="D10" t="s">
        <v>63</v>
      </c>
    </row>
    <row r="11" spans="1:4">
      <c r="A11" t="s">
        <v>70</v>
      </c>
      <c r="B11" s="8">
        <f aca="1">TODAY()+1</f>
        <v>45876</v>
      </c>
      <c r="C11">
        <f>DAY(B11)</f>
        <v>7</v>
      </c>
      <c r="D11" t="s">
        <v>64</v>
      </c>
    </row>
    <row r="12" spans="1:3">
      <c r="A12" t="s">
        <v>71</v>
      </c>
      <c r="B12" s="10" t="n">
        <v>0.522488425925925881</v>
      </c>
      <c r="C12" s="11">
        <f>HOUR($B12)</f>
        <v>12</v>
      </c>
    </row>
    <row r="13" spans="1:3">
      <c r="A13" t="s">
        <v>72</v>
      </c>
      <c r="B13" s="10" t="n">
        <v>0.522488425925925881</v>
      </c>
      <c r="C13" s="11">
        <f>MINUTE($B13)</f>
        <v>32</v>
      </c>
    </row>
    <row r="14" spans="1:3">
      <c r="A14" t="s">
        <v>73</v>
      </c>
      <c r="B14" s="10" t="n">
        <v>0.522488425925925881</v>
      </c>
      <c r="C14" s="11">
        <f>SECOND($B14)</f>
        <v>23</v>
      </c>
    </row>
    <row r="16" spans="1:3">
      <c r="A16" t="s">
        <v>74</v>
      </c>
      <c r="B16" s="8" t="n">
        <v>44691</v>
      </c>
      <c r="C16">
        <f aca="1">DATEDIF(B16,TODAY(),"d")</f>
        <v>1184</v>
      </c>
    </row>
    <row r="17" spans="1:2">
      <c r="A17" t="s">
        <v>75</v>
      </c>
      <c r="B17" s="11">
        <f aca="1">NETWORKDAYS(B16,TODAY())</f>
        <v>847</v>
      </c>
    </row>
    <row r="18" spans="1:2">
      <c r="A18" t="s">
        <v>76</v>
      </c>
      <c r="B18" s="8">
        <f>WORKDAY(B16,366)</f>
        <v>45203</v>
      </c>
    </row>
  </sheetData>
  <printOptions>
    <extLst>
      <ext uri="smNativeData">
        <pm:pageFlags xmlns:pm="smNativeData" id="175449295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/>
  <headerFooter>
    <extLst>
      <ext uri="smNativeData">
        <pm:header xmlns:pm="smNativeData" id="1754492956" l="56" r="56" t="56" b="56" borderId="0" fillId="0" vertical="0"/>
        <pm:footer xmlns:pm="smNativeData" id="1754492956" l="56" r="56" t="56" b="56" borderId="0" fillId="0" vertical="2"/>
        <pm:paperBin xmlns:pm="smNativeData" id="1754492956" Id="0" type="0" value="0"/>
        <pm:paperBin xmlns:pm="smNativeData" id="1754492956" Id="1" type="0" value="0"/>
      </ext>
    </extLst>
  </headerFooter>
  <extLst>
    <ext uri="smNativeData">
      <pm:sheetPrefs xmlns:pm="smNativeData" day="175449295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6"/>
  <sheetViews>
    <sheetView view="normal" workbookViewId="0">
      <selection activeCell="A1" sqref="A1:F6"/>
    </sheetView>
  </sheetViews>
  <sheetFormatPr defaultRowHeight="15.40"/>
  <cols>
    <col min="1" max="1" width="13.285714" customWidth="1"/>
    <col min="2" max="2" width="10.428571" customWidth="1"/>
    <col min="3" max="3" width="12.000000" customWidth="1"/>
    <col min="4" max="4" width="11.857143" customWidth="1" style="8"/>
    <col min="5" max="5" width="11.000000" customWidth="1" style="8"/>
    <col min="6" max="6" width="10.428571" customWidth="1" style="8"/>
  </cols>
  <sheetData>
    <row r="1" spans="1:6" s="2" customFormat="1">
      <c r="A1" s="6" t="s">
        <v>19</v>
      </c>
      <c r="B1" s="9" t="s">
        <v>61</v>
      </c>
      <c r="C1" s="6" t="s">
        <v>57</v>
      </c>
      <c r="D1" s="12" t="s">
        <v>77</v>
      </c>
      <c r="E1" s="12" t="s">
        <v>78</v>
      </c>
      <c r="F1" s="12" t="s">
        <v>79</v>
      </c>
    </row>
    <row r="2" spans="1:6">
      <c r="A2" s="13" t="s">
        <v>30</v>
      </c>
      <c r="B2" s="14" t="n">
        <v>44691</v>
      </c>
      <c r="C2" s="13" t="n">
        <v>50000</v>
      </c>
      <c r="D2" s="14" t="n">
        <v>45444</v>
      </c>
      <c r="E2" s="14" t="n">
        <v>45458</v>
      </c>
      <c r="F2" s="15">
        <f>DATEDIF(D2,E2,"d")</f>
        <v>14</v>
      </c>
    </row>
    <row r="3" spans="1:6">
      <c r="A3" s="13" t="s">
        <v>65</v>
      </c>
      <c r="B3" s="14" t="n">
        <v>44941</v>
      </c>
      <c r="C3" s="13" t="n">
        <v>60000</v>
      </c>
      <c r="D3" s="14" t="n">
        <v>45444</v>
      </c>
      <c r="E3" s="14" t="n">
        <v>45461</v>
      </c>
      <c r="F3" s="15">
        <f>DATEDIF(D3,E3,"d")</f>
        <v>17</v>
      </c>
    </row>
    <row r="4" spans="1:6">
      <c r="A4" s="13" t="s">
        <v>66</v>
      </c>
      <c r="B4" s="14" t="n">
        <v>44378</v>
      </c>
      <c r="C4" s="13" t="n">
        <v>55000</v>
      </c>
      <c r="D4" s="14" t="n">
        <v>45444</v>
      </c>
      <c r="E4" s="14" t="n">
        <v>45463</v>
      </c>
      <c r="F4" s="15">
        <f>DATEDIF(D4,E4,"d")</f>
        <v>19</v>
      </c>
    </row>
    <row r="5" spans="1:6">
      <c r="A5" s="13" t="s">
        <v>67</v>
      </c>
      <c r="B5" s="14" t="n">
        <v>45219</v>
      </c>
      <c r="C5" s="13" t="n">
        <v>45000</v>
      </c>
      <c r="D5" s="14" t="n">
        <v>45444</v>
      </c>
      <c r="E5" s="14" t="n">
        <v>45468</v>
      </c>
      <c r="F5" s="15">
        <f>DATEDIF(D5,E5,"d")</f>
        <v>24</v>
      </c>
    </row>
    <row r="6" spans="1:6">
      <c r="A6" s="13" t="s">
        <v>49</v>
      </c>
      <c r="B6" s="14" t="n">
        <v>43895</v>
      </c>
      <c r="C6" s="13" t="n">
        <v>70000</v>
      </c>
      <c r="D6" s="14" t="n">
        <v>45444</v>
      </c>
      <c r="E6" s="14" t="n">
        <v>45473</v>
      </c>
      <c r="F6" s="15">
        <f>DATEDIF(D6,E6,"d")</f>
        <v>29</v>
      </c>
    </row>
  </sheetData>
  <printOptions>
    <extLst>
      <ext uri="smNativeData">
        <pm:pageFlags xmlns:pm="smNativeData" id="175449295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/>
  <headerFooter>
    <extLst>
      <ext uri="smNativeData">
        <pm:header xmlns:pm="smNativeData" id="1754492956" l="56" r="56" t="56" b="56" borderId="0" fillId="0" vertical="0"/>
        <pm:footer xmlns:pm="smNativeData" id="1754492956" l="56" r="56" t="56" b="56" borderId="0" fillId="0" vertical="2"/>
        <pm:paperBin xmlns:pm="smNativeData" id="1754492956" Id="0" type="0" value="0"/>
        <pm:paperBin xmlns:pm="smNativeData" id="1754492956" Id="1" type="0" value="0"/>
      </ext>
    </extLst>
  </headerFooter>
  <drawing r:id="rId1"/>
  <extLst>
    <ext uri="smNativeData">
      <pm:sheetPrefs xmlns:pm="smNativeData" day="175449295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P6"/>
  <sheetViews>
    <sheetView view="normal" workbookViewId="0">
      <selection activeCell="A1" sqref="A1:A6"/>
    </sheetView>
  </sheetViews>
  <sheetFormatPr defaultRowHeight="15.40"/>
  <cols>
    <col min="1" max="1" width="13.285714" customWidth="1"/>
    <col min="2" max="2" width="10.428571" customWidth="1"/>
    <col min="3" max="3" width="12.000000" customWidth="1"/>
    <col min="4" max="4" width="11.857143" customWidth="1"/>
    <col min="5" max="5" width="11.000000" customWidth="1"/>
    <col min="6" max="6" width="8.714286" customWidth="1"/>
  </cols>
  <sheetData>
    <row r="1" spans="1:6">
      <c r="A1" s="6" t="s">
        <v>19</v>
      </c>
      <c r="B1" s="9" t="s">
        <v>61</v>
      </c>
      <c r="C1" s="6" t="s">
        <v>57</v>
      </c>
      <c r="D1" s="12" t="s">
        <v>77</v>
      </c>
      <c r="E1" s="12" t="s">
        <v>78</v>
      </c>
      <c r="F1" s="12" t="s">
        <v>79</v>
      </c>
    </row>
    <row r="2" spans="1:6">
      <c r="A2" s="13" t="s">
        <v>30</v>
      </c>
      <c r="B2" s="14" t="n">
        <v>44691</v>
      </c>
      <c r="C2" s="13" t="n">
        <v>50000</v>
      </c>
      <c r="D2" s="14" t="n">
        <v>45444</v>
      </c>
      <c r="E2" s="14" t="n">
        <v>45458</v>
      </c>
      <c r="F2" s="15">
        <f>DATEDIF(D2,E2,"d")</f>
        <v>14</v>
      </c>
    </row>
    <row r="3" spans="1:6">
      <c r="A3" s="13" t="s">
        <v>65</v>
      </c>
      <c r="B3" s="14" t="n">
        <v>44941</v>
      </c>
      <c r="C3" s="13" t="n">
        <v>60000</v>
      </c>
      <c r="D3" s="14" t="n">
        <v>45444</v>
      </c>
      <c r="E3" s="14" t="n">
        <v>45461</v>
      </c>
      <c r="F3" s="15">
        <f>DATEDIF(D3,E3,"d")</f>
        <v>17</v>
      </c>
    </row>
    <row r="4" spans="1:6">
      <c r="A4" s="13" t="s">
        <v>66</v>
      </c>
      <c r="B4" s="14" t="n">
        <v>44378</v>
      </c>
      <c r="C4" s="13" t="n">
        <v>55000</v>
      </c>
      <c r="D4" s="14" t="n">
        <v>45444</v>
      </c>
      <c r="E4" s="14" t="n">
        <v>45463</v>
      </c>
      <c r="F4" s="15">
        <f>DATEDIF(D4,E4,"d")</f>
        <v>19</v>
      </c>
    </row>
    <row r="5" spans="1:16">
      <c r="A5" s="13" t="s">
        <v>67</v>
      </c>
      <c r="B5" s="14" t="n">
        <v>45219</v>
      </c>
      <c r="C5" s="13" t="n">
        <v>45000</v>
      </c>
      <c r="D5" s="14" t="n">
        <v>45444</v>
      </c>
      <c r="E5" s="14" t="n">
        <v>45468</v>
      </c>
      <c r="F5" s="15">
        <f>DATEDIF(D5,E5,"d")</f>
        <v>24</v>
      </c>
      <c r="P5" s="16"/>
    </row>
    <row r="6" spans="1:6">
      <c r="A6" s="13" t="s">
        <v>49</v>
      </c>
      <c r="B6" s="14" t="n">
        <v>43895</v>
      </c>
      <c r="C6" s="13" t="n">
        <v>70000</v>
      </c>
      <c r="D6" s="14" t="n">
        <v>45444</v>
      </c>
      <c r="E6" s="14" t="n">
        <v>45473</v>
      </c>
      <c r="F6" s="15">
        <f>DATEDIF(D6,E6,"d")</f>
        <v>29</v>
      </c>
    </row>
  </sheetData>
  <printOptions>
    <extLst>
      <ext uri="smNativeData">
        <pm:pageFlags xmlns:pm="smNativeData" id="175449295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54492956" l="56" r="56" t="56" b="56" borderId="0" fillId="0" vertical="0"/>
        <pm:footer xmlns:pm="smNativeData" id="1754492956" l="56" r="56" t="56" b="56" borderId="0" fillId="0" vertical="2"/>
        <pm:paperBin xmlns:pm="smNativeData" id="1754492956" Id="0" type="0" value="0"/>
        <pm:paperBin xmlns:pm="smNativeData" id="1754492956" Id="1" type="0" value="0"/>
      </ext>
    </extLst>
  </headerFooter>
  <drawing r:id="rId1"/>
  <extLst>
    <ext uri="smNativeData">
      <pm:sheetPrefs xmlns:pm="smNativeData" day="175449295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G12"/>
  <sheetViews>
    <sheetView view="normal" zoomScale="115" workbookViewId="0">
      <selection activeCell="B1" sqref="B1:B6"/>
    </sheetView>
  </sheetViews>
  <sheetFormatPr defaultRowHeight="15.40"/>
  <cols>
    <col min="1" max="1" width="13.285714" customWidth="1"/>
    <col min="2" max="2" width="12.000000" customWidth="1"/>
    <col min="3" max="3" width="12.142857" customWidth="1"/>
    <col min="5" max="5" width="12.285714" customWidth="1"/>
    <col min="6" max="7" width="12.428571" customWidth="1"/>
  </cols>
  <sheetData>
    <row r="1" spans="1:7" s="2" customFormat="1">
      <c r="A1" s="6" t="s">
        <v>19</v>
      </c>
      <c r="B1" s="2" t="s">
        <v>56</v>
      </c>
      <c r="C1" s="2" t="s">
        <v>57</v>
      </c>
      <c r="D1" s="2" t="s">
        <v>80</v>
      </c>
      <c r="E1" s="2" t="s">
        <v>81</v>
      </c>
      <c r="F1" s="2" t="s">
        <v>82</v>
      </c>
      <c r="G1" s="2" t="s">
        <v>82</v>
      </c>
    </row>
    <row r="2" spans="1:7">
      <c r="A2" s="13" t="s">
        <v>30</v>
      </c>
      <c r="B2" t="s">
        <v>58</v>
      </c>
      <c r="C2" t="n">
        <v>50000</v>
      </c>
      <c r="D2" t="n">
        <v>3</v>
      </c>
      <c r="E2" t="str">
        <f>IF(C2&gt;50000,"HIGH","LOW")</f>
        <v>LOW</v>
      </c>
      <c r="F2" t="str">
        <f>_xlfn.IFS(D2=1,"Excellent",D2=2,"Good",D2=3,"Average",D2=4,"Fine",D2=5,"Poor")</f>
        <v>Average</v>
      </c>
      <c r="G2" t="str">
        <f>_xlfn.SWITCH(D2,1,"Excellent",2,"Good",3,"Average",4,"Fine",5,"Poor")</f>
        <v>Average</v>
      </c>
    </row>
    <row r="3" spans="1:7">
      <c r="A3" s="13" t="s">
        <v>65</v>
      </c>
      <c r="B3" t="s">
        <v>59</v>
      </c>
      <c r="C3" t="n">
        <v>60000</v>
      </c>
      <c r="D3" t="n">
        <v>4</v>
      </c>
      <c r="E3" t="str">
        <f>IF(C3&gt;50000,"HIGH","LOW")</f>
        <v>HIGH</v>
      </c>
      <c r="F3" t="str">
        <f>_xlfn.IFS(D3=1,"Excellent",D3=2,"Good",D3=3,"Average",D3=4,"Fine",D3=5,"Poor")</f>
        <v>Fine</v>
      </c>
      <c r="G3" t="str">
        <f>_xlfn.SWITCH(D3,1,"Excellent",2,"Good",3,"Average",4,"Fine",5,"Poor")</f>
        <v>Fine</v>
      </c>
    </row>
    <row r="4" spans="1:7">
      <c r="A4" s="13" t="s">
        <v>66</v>
      </c>
      <c r="B4" t="s">
        <v>58</v>
      </c>
      <c r="C4" t="n">
        <v>55000</v>
      </c>
      <c r="D4" t="n">
        <v>3</v>
      </c>
      <c r="E4" t="str">
        <f>IF(C4&gt;50000,"HIGH","LOW")</f>
        <v>HIGH</v>
      </c>
      <c r="F4" t="str">
        <f>_xlfn.IFS(D4=1,"Excellent",D4=2,"Good",D4=3,"Average",D4=4,"Fine",D4=5,"Poor")</f>
        <v>Average</v>
      </c>
      <c r="G4" t="str">
        <f>_xlfn.SWITCH(D4,1,"Excellent",2,"Good",3,"Average",4,"Fine",5,"Poor")</f>
        <v>Average</v>
      </c>
    </row>
    <row r="5" spans="1:7">
      <c r="A5" s="13" t="s">
        <v>67</v>
      </c>
      <c r="B5" t="s">
        <v>60</v>
      </c>
      <c r="C5" t="n">
        <v>45000</v>
      </c>
      <c r="D5" t="n">
        <v>2</v>
      </c>
      <c r="E5" t="str">
        <f>IF(C5&gt;50000,"HIGH","LOW")</f>
        <v>LOW</v>
      </c>
      <c r="F5" t="str">
        <f>_xlfn.IFS(D5=1,"Excellent",D5=2,"Good",D5=3,"Average",D5=4,"Fine",D5=5,"Poor")</f>
        <v>Good</v>
      </c>
      <c r="G5" t="str">
        <f>_xlfn.SWITCH(D5,1,"Excellent",2,"Good",3,"Average",4,"Fine",5,"Poor")</f>
        <v>Good</v>
      </c>
    </row>
    <row r="6" spans="1:7">
      <c r="A6" s="13" t="s">
        <v>49</v>
      </c>
      <c r="B6" t="s">
        <v>59</v>
      </c>
      <c r="C6" t="n">
        <v>70000</v>
      </c>
      <c r="D6" t="n">
        <v>4</v>
      </c>
      <c r="E6" t="str">
        <f>IF(C6&gt;50000,"HIGH","LOW")</f>
        <v>HIGH</v>
      </c>
      <c r="F6" t="str">
        <f>_xlfn.IFS(D6=1,"Excellent",D6=2,"Good",D6=3,"Average",D6=4,"Fine",D6=5,"Poor")</f>
        <v>Fine</v>
      </c>
      <c r="G6" t="str">
        <f>_xlfn.SWITCH(D6,1,"Excellent",2,"Good",3,"Average",4,"Fine",5,"Poor")</f>
        <v>Fine</v>
      </c>
    </row>
    <row r="8" spans="2:3">
      <c r="B8" t="n">
        <v>1</v>
      </c>
      <c r="C8" t="s">
        <v>83</v>
      </c>
    </row>
    <row r="9" spans="2:3">
      <c r="B9" t="n">
        <v>2</v>
      </c>
      <c r="C9" t="s">
        <v>84</v>
      </c>
    </row>
    <row r="10" spans="2:3">
      <c r="B10" t="n">
        <v>3</v>
      </c>
      <c r="C10" t="s">
        <v>85</v>
      </c>
    </row>
    <row r="11" spans="2:3">
      <c r="B11" t="n">
        <v>4</v>
      </c>
      <c r="C11" t="s">
        <v>86</v>
      </c>
    </row>
    <row r="12" spans="2:3">
      <c r="B12" t="n">
        <v>5</v>
      </c>
      <c r="C12" t="s">
        <v>87</v>
      </c>
    </row>
  </sheetData>
  <printOptions>
    <extLst>
      <ext uri="smNativeData">
        <pm:pageFlags xmlns:pm="smNativeData" id="175449295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54492956" l="56" r="56" t="56" b="56" borderId="0" fillId="0" vertical="0"/>
        <pm:footer xmlns:pm="smNativeData" id="1754492956" l="56" r="56" t="56" b="56" borderId="0" fillId="0" vertical="2"/>
        <pm:paperBin xmlns:pm="smNativeData" id="1754492956" Id="0" type="0" value="0"/>
        <pm:paperBin xmlns:pm="smNativeData" id="1754492956" Id="1" type="0" value="0"/>
      </ext>
    </extLst>
  </headerFooter>
  <extLst>
    <ext uri="smNativeData">
      <pm:sheetPrefs xmlns:pm="smNativeData" day="175449295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9"/>
  <sheetViews>
    <sheetView view="normal" zoomScale="115" workbookViewId="0">
      <selection activeCell="B10" sqref="B10"/>
    </sheetView>
  </sheetViews>
  <sheetFormatPr defaultRowHeight="15.40"/>
  <cols>
    <col min="1" max="1" width="13.285714" customWidth="1"/>
    <col min="2" max="2" width="11.714286" customWidth="1"/>
  </cols>
  <sheetData>
    <row r="1" spans="1:3" s="6" customFormat="1">
      <c r="A1" s="6" t="s">
        <v>19</v>
      </c>
      <c r="B1" s="6" t="s">
        <v>56</v>
      </c>
      <c r="C1" s="6" t="s">
        <v>88</v>
      </c>
    </row>
    <row r="2" spans="1:3">
      <c r="A2" s="13" t="s">
        <v>30</v>
      </c>
      <c r="B2" t="s">
        <v>58</v>
      </c>
      <c r="C2" t="str">
        <f>IF(OR(B2="HR",B2="Marketing"),"Bonus","No Bonus")</f>
        <v>No Bonus</v>
      </c>
    </row>
    <row r="3" spans="1:3">
      <c r="A3" s="13" t="s">
        <v>65</v>
      </c>
      <c r="B3" t="s">
        <v>59</v>
      </c>
      <c r="C3" t="str">
        <f>IF(OR(B3="HR",B3="Marketing"),"Bonus","No Bonus")</f>
        <v>Bonus</v>
      </c>
    </row>
    <row r="4" spans="1:3">
      <c r="A4" s="13" t="s">
        <v>66</v>
      </c>
      <c r="B4" t="s">
        <v>58</v>
      </c>
      <c r="C4" t="str">
        <f>IF(OR(B4="HR",B4="Marketing"),"Bonus","No Bonus")</f>
        <v>No Bonus</v>
      </c>
    </row>
    <row r="5" spans="1:3">
      <c r="A5" s="13" t="s">
        <v>67</v>
      </c>
      <c r="B5" t="s">
        <v>60</v>
      </c>
      <c r="C5" t="str">
        <f>IF(OR(B5="HR",B5="Marketing"),"Bonus","No Bonus")</f>
        <v>Bonus</v>
      </c>
    </row>
    <row r="6" spans="1:3">
      <c r="A6" s="13" t="s">
        <v>49</v>
      </c>
      <c r="B6" t="s">
        <v>59</v>
      </c>
      <c r="C6" t="str">
        <f>IF(OR(B6="HR",B6="Marketing"),"Bonus","No Bonus")</f>
        <v>Bonus</v>
      </c>
    </row>
    <row r="9" spans="1:3">
      <c r="A9" s="13" t="s">
        <v>89</v>
      </c>
      <c r="B9" t="s">
        <v>90</v>
      </c>
      <c r="C9" t="b">
        <f>AND(A9="Mr",B9="Ms")</f>
        <v>1</v>
      </c>
    </row>
  </sheetData>
  <printOptions>
    <extLst>
      <ext uri="smNativeData">
        <pm:pageFlags xmlns:pm="smNativeData" id="175449295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/>
  <headerFooter>
    <extLst>
      <ext uri="smNativeData">
        <pm:header xmlns:pm="smNativeData" id="1754492956" l="56" r="56" t="56" b="56" borderId="0" fillId="0" vertical="0"/>
        <pm:footer xmlns:pm="smNativeData" id="1754492956" l="56" r="56" t="56" b="56" borderId="0" fillId="0" vertical="2"/>
        <pm:paperBin xmlns:pm="smNativeData" id="1754492956" Id="0" type="0" value="0"/>
        <pm:paperBin xmlns:pm="smNativeData" id="1754492956" Id="1" type="0" value="0"/>
      </ext>
    </extLst>
  </headerFooter>
  <extLst>
    <ext uri="smNativeData">
      <pm:sheetPrefs xmlns:pm="smNativeData" day="175449295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17"/>
  <sheetViews>
    <sheetView view="normal" workbookViewId="0">
      <selection activeCell="C16" sqref="C16"/>
    </sheetView>
  </sheetViews>
  <sheetFormatPr defaultRowHeight="15.40"/>
  <cols>
    <col min="1" max="1" width="31.285714" customWidth="1"/>
    <col min="2" max="2" width="26.142857" customWidth="1" style="13"/>
    <col min="3" max="3" width="12.142857" customWidth="1" style="13"/>
    <col min="4" max="4" width="13.571429" customWidth="1"/>
    <col min="6" max="6" width="12.142857" customWidth="1"/>
    <col min="7" max="8" width="12.428571" customWidth="1"/>
  </cols>
  <sheetData>
    <row r="1" spans="1:8">
      <c r="A1" s="6" t="s">
        <v>19</v>
      </c>
      <c r="B1" s="6" t="s">
        <v>56</v>
      </c>
      <c r="C1" s="6" t="s">
        <v>91</v>
      </c>
      <c r="D1" s="2" t="s">
        <v>92</v>
      </c>
      <c r="E1" s="2"/>
      <c r="F1" s="2"/>
      <c r="G1" s="2"/>
      <c r="H1" s="2"/>
    </row>
    <row r="2" spans="1:4" outlineLevel="2">
      <c r="A2" t="s">
        <v>67</v>
      </c>
      <c r="B2" s="13" t="s">
        <v>60</v>
      </c>
      <c r="C2" s="13" t="n">
        <v>45000</v>
      </c>
      <c r="D2" t="n">
        <v>8</v>
      </c>
    </row>
    <row r="3" spans="2:3" outlineLevel="1">
      <c r="B3" s="6" t="s">
        <v>93</v>
      </c>
      <c r="C3" s="13">
        <f>SUBTOTAL(9,C2)</f>
        <v>45000</v>
      </c>
    </row>
    <row r="4" spans="1:4" outlineLevel="2">
      <c r="A4" t="s">
        <v>30</v>
      </c>
      <c r="B4" s="13" t="s">
        <v>58</v>
      </c>
      <c r="C4" s="13" t="n">
        <v>50000</v>
      </c>
      <c r="D4" t="n">
        <v>5</v>
      </c>
    </row>
    <row r="5" spans="1:4" outlineLevel="2">
      <c r="A5" t="s">
        <v>66</v>
      </c>
      <c r="B5" s="13" t="s">
        <v>58</v>
      </c>
      <c r="C5" s="13" t="n">
        <v>55000</v>
      </c>
      <c r="D5" t="n">
        <v>0</v>
      </c>
    </row>
    <row r="6" spans="2:3" outlineLevel="1">
      <c r="B6" s="6" t="s">
        <v>94</v>
      </c>
      <c r="C6" s="13">
        <f>SUBTOTAL(9,C4:C5)</f>
        <v>105000</v>
      </c>
    </row>
    <row r="7" spans="1:4" outlineLevel="2">
      <c r="A7" t="s">
        <v>65</v>
      </c>
      <c r="B7" s="13" t="s">
        <v>59</v>
      </c>
      <c r="C7" s="13" t="n">
        <v>60000</v>
      </c>
      <c r="D7" t="n">
        <v>12</v>
      </c>
    </row>
    <row r="8" spans="1:4" outlineLevel="2">
      <c r="A8" t="s">
        <v>95</v>
      </c>
      <c r="B8" s="13" t="s">
        <v>59</v>
      </c>
      <c r="C8" s="13" t="n">
        <v>70000</v>
      </c>
      <c r="D8" t="n">
        <v>2</v>
      </c>
    </row>
    <row r="9" spans="2:3" outlineLevel="1">
      <c r="B9" s="6" t="s">
        <v>96</v>
      </c>
      <c r="C9" s="13">
        <f>SUBTOTAL(9,C7:C8)</f>
        <v>130000</v>
      </c>
    </row>
    <row r="10" spans="2:3">
      <c r="B10" s="6" t="s">
        <v>97</v>
      </c>
      <c r="C10" s="13">
        <f>SUBTOTAL(9,C2:C8)</f>
        <v>280000</v>
      </c>
    </row>
    <row r="11" spans="3:3">
      <c r="C11" s="17"/>
    </row>
    <row r="12" spans="3:3">
      <c r="C12" s="17"/>
    </row>
    <row r="13" spans="1:2">
      <c r="A13" s="13" t="s">
        <v>98</v>
      </c>
      <c r="B13" s="13">
        <f>VLOOKUP("John Doe",A1:C8,3,FALSE)</f>
        <v>50000</v>
      </c>
    </row>
    <row r="14" spans="1:2">
      <c r="A14" t="s">
        <v>99</v>
      </c>
      <c r="B14" s="13">
        <f>HLOOKUP("Basic Salary",A1:C8,3,FALSE)</f>
        <v>45000</v>
      </c>
    </row>
    <row r="15" spans="1:2">
      <c r="A15" t="s">
        <v>100</v>
      </c>
      <c r="B15" s="13">
        <f aca="1">INDEX(C1:C8,MATCH("jane smith",A1:A8))</f>
        <v>60000</v>
      </c>
    </row>
    <row r="16" spans="1:7">
      <c r="A16" t="s">
        <v>101</v>
      </c>
      <c r="B16" s="13" t="e">
        <v>#NAME?</v>
      </c>
      <c r="C16" s="13" t="n">
        <v>45000</v>
      </c>
      <c r="F16" s="6" t="s">
        <v>91</v>
      </c>
      <c r="G16" s="6" t="s">
        <v>56</v>
      </c>
    </row>
    <row r="17" spans="1:7">
      <c r="A17" t="s">
        <v>102</v>
      </c>
      <c r="B17" s="13" t="str">
        <f>LOOKUP(52000,C1:C8,A1:A8)</f>
        <v>John Doe</v>
      </c>
      <c r="F17" t="s">
        <v>103</v>
      </c>
      <c r="G17" s="13" t="s">
        <v>59</v>
      </c>
    </row>
  </sheetData>
  <printOptions>
    <extLst>
      <ext uri="smNativeData">
        <pm:pageFlags xmlns:pm="smNativeData" id="175449295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54492956" l="56" r="56" t="56" b="56" borderId="0" fillId="0" vertical="0"/>
        <pm:footer xmlns:pm="smNativeData" id="1754492956" l="56" r="56" t="56" b="56" borderId="0" fillId="0" vertical="2"/>
        <pm:paperBin xmlns:pm="smNativeData" id="1754492956" Id="0" type="0" value="0"/>
        <pm:paperBin xmlns:pm="smNativeData" id="1754492956" Id="1" type="0" value="0"/>
      </ext>
    </extLst>
  </headerFooter>
  <extLst>
    <ext uri="smNativeData">
      <pm:sheetPrefs xmlns:pm="smNativeData" day="175449295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9"/>
  <sheetViews>
    <sheetView view="normal" workbookViewId="0">
      <selection activeCell="A1" sqref="A1:XFD1048576"/>
    </sheetView>
  </sheetViews>
  <sheetFormatPr defaultRowHeight="15.40"/>
  <cols>
    <col min="1" max="1" width="26.571429" customWidth="1"/>
    <col min="2" max="2" width="11.714286" customWidth="1"/>
    <col min="3" max="3" width="12.000000" customWidth="1"/>
  </cols>
  <sheetData>
    <row r="1" spans="1:3">
      <c r="A1" s="6"/>
      <c r="B1" s="2"/>
      <c r="C1" s="2"/>
    </row>
    <row r="2" spans="1:1">
      <c r="A2" s="13"/>
    </row>
    <row r="3" spans="1:1">
      <c r="A3" s="13"/>
    </row>
    <row r="4" spans="1:1">
      <c r="A4" s="13"/>
    </row>
    <row r="5" spans="1:1">
      <c r="A5" s="13"/>
    </row>
    <row r="6" spans="1:1">
      <c r="A6" s="13"/>
    </row>
    <row r="9" spans="1:1">
      <c r="A9" s="13"/>
    </row>
  </sheetData>
  <printOptions>
    <extLst>
      <ext uri="smNativeData">
        <pm:pageFlags xmlns:pm="smNativeData" id="175449295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54492956" l="56" r="56" t="56" b="56" borderId="0" fillId="0" vertical="0"/>
        <pm:footer xmlns:pm="smNativeData" id="1754492956" l="56" r="56" t="56" b="56" borderId="0" fillId="0" vertical="2"/>
        <pm:paperBin xmlns:pm="smNativeData" id="1754492956" Id="0" type="0" value="0"/>
        <pm:paperBin xmlns:pm="smNativeData" id="1754492956" Id="1" type="0" value="0"/>
      </ext>
    </extLst>
  </headerFooter>
  <extLst>
    <ext uri="smNativeData">
      <pm:sheetPrefs xmlns:pm="smNativeData" day="175449295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>0</cp:revision>
  <dcterms:created xsi:type="dcterms:W3CDTF">2025-07-29T13:08:29Z</dcterms:created>
  <dcterms:modified xsi:type="dcterms:W3CDTF">2025-08-06T15:09:16Z</dcterms:modified>
</cp:coreProperties>
</file>